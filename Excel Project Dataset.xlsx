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 activeTab="3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1" hidden="1">'Working sheet'!$A$1:$N$1027</definedName>
    <definedName name="_xlnm._FilterDatabase" localSheetId="0" hidden="1">bike_buyers!$A$1:$M$1001</definedName>
    <definedName name="Slicer_Marital_Statu">#N/A</definedName>
    <definedName name="Slicer_Education">#N/A</definedName>
    <definedName name="Slicer_Region">#N/A</definedName>
    <definedName name="Slicer_Occupat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<sst xmlns="http://schemas.openxmlformats.org/spreadsheetml/2006/main" count="16263" uniqueCount="49">
  <si>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</si>
  <si>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</si>
  <si>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</si>
  <si>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</si>
  <si>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</si>
  <si>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</si>
  <si>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</si>
  <si>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</si>
  <si>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</si>
  <si>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</si>
  <si>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</si>
  <si>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</si>
  <si>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</si>
  <si>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</si>
  <si>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</si>
  <si>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</si>
  <si>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</si>
  <si>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</si>
  <si>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</si>
  <si>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</si>
  <si>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</si>
  <si>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</si>
  <si>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</si>
  <si>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</si>
  <si>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</si>
  <si>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</si>
  <si>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</si>
  <si>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</si>
  <si>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</si>
  <si>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</si>
  <si>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</si>
  <si>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</si>
  <si>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</si>
  <si>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</si>
  <si>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</si>
  <si>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</si>
  <si>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</t>
  </si>
  <si>
    <t>Age Bracket</t>
  </si>
  <si>
    <t>Married</t>
  </si>
  <si>
    <t>Female</t>
  </si>
  <si>
    <t>Male</t>
  </si>
  <si>
    <t>Single</t>
  </si>
  <si>
    <t>More than 10 miles Miles</t>
  </si>
  <si>
    <t>Average of Income</t>
  </si>
  <si>
    <t>Grand Total</t>
  </si>
  <si>
    <t>Count of Purchased Bike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</si>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</sst>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&quot;$&quot;#,##0"/>
    <numFmt numFmtId="180" formatCode="&quot;$&quot;#,##0.00"/>
  </numFmts>
  <fonts count="23">
    <font>
      <sz val="11"/>
      <color theme="1"/>
      <name val="Calibri"/>
      <charset val="134"/>
      <scheme val="minor"/>
    </font>
    <font>
      <sz val="11"/>
      <color theme="3" tint="-0.5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5" applyNumberFormat="0" applyAlignment="0" applyProtection="0"/>
    <xf numFmtId="0" fontId="14" fillId="5" borderId="6" applyNumberFormat="0" applyAlignment="0" applyProtection="0"/>
    <xf numFmtId="0" fontId="15" fillId="5" borderId="5" applyNumberFormat="0" applyAlignment="0" applyProtection="0"/>
    <xf numFmtId="0" fontId="16" fillId="6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78" fontId="0" fillId="0" borderId="0" xfId="0" applyNumberFormat="1"/>
    <xf numFmtId="179" fontId="0" fillId="0" borderId="0" xfId="0" applyNumberFormat="1"/>
    <xf numFmtId="0" fontId="3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81" formatCode="0.0_ "/>
    </dxf>
    <dxf>
      <numFmt numFmtId="178" formatCode="0_ "/>
    </dxf>
  </dxfs>
  <tableStyles count="0" defaultTableStyle="TableStyleMedium2" defaultPivotStyle="PivotStyleLight16"/>
  <colors>
    <mruColors>
      <color rgb="002030CC"/>
      <color rgb="001945D3"/>
      <color rgb="002E22CA"/>
      <color rgb="002B40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Avg Income Per Purchase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 </c:formatCode>
                <c:ptCount val="2"/>
                <c:pt idx="1">
                  <c:v>15000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 </c:formatCode>
                <c:ptCount val="2"/>
                <c:pt idx="0">
                  <c:v>120000</c:v>
                </c:pt>
                <c:pt idx="1">
                  <c:v>30000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4547570"/>
        <c:axId val="652734706"/>
      </c:barChart>
      <c:catAx>
        <c:axId val="69454757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734706"/>
        <c:crosses val="autoZero"/>
        <c:auto val="1"/>
        <c:lblAlgn val="ctr"/>
        <c:lblOffset val="100"/>
        <c:noMultiLvlLbl val="0"/>
      </c:catAx>
      <c:valAx>
        <c:axId val="6527347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5475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Table'!$A$35:$A$37</c:f>
              <c:strCache>
                <c:ptCount val="2"/>
                <c:pt idx="0">
                  <c:v>5-10 Miles</c:v>
                </c:pt>
                <c:pt idx="1">
                  <c:v>More than 10 miles Miles</c:v>
                </c:pt>
              </c:strCache>
            </c:strRef>
          </c:cat>
          <c:val>
            <c:numRef>
              <c:f>'Pivot Table'!$B$35:$B$37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Table'!$A$35:$A$37</c:f>
              <c:strCache>
                <c:ptCount val="2"/>
                <c:pt idx="0">
                  <c:v>5-10 Miles</c:v>
                </c:pt>
                <c:pt idx="1">
                  <c:v>More than 10 miles Miles</c:v>
                </c:pt>
              </c:strCache>
            </c:strRef>
          </c:cat>
          <c:val>
            <c:numRef>
              <c:f>'Pivot Table'!$C$35:$C$37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7830869"/>
        <c:axId val="330869767"/>
      </c:lineChart>
      <c:catAx>
        <c:axId val="77783086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869767"/>
        <c:crosses val="autoZero"/>
        <c:auto val="1"/>
        <c:lblAlgn val="ctr"/>
        <c:lblOffset val="100"/>
        <c:noMultiLvlLbl val="0"/>
      </c:catAx>
      <c:valAx>
        <c:axId val="33086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8308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Cutomer Age Bracket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Table'!$B$68:$B$69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Table'!$A$70:$A$72</c:f>
              <c:strCache>
                <c:ptCount val="2"/>
                <c:pt idx="0">
                  <c:v>Middle aged</c:v>
                </c:pt>
                <c:pt idx="1">
                  <c:v>Old</c:v>
                </c:pt>
              </c:strCache>
            </c:strRef>
          </c:cat>
          <c:val>
            <c:numRef>
              <c:f>'Pivot Table'!$B$70:$B$72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Table'!$C$68:$C$69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Table'!$A$70:$A$72</c:f>
              <c:strCache>
                <c:ptCount val="2"/>
                <c:pt idx="0">
                  <c:v>Middle aged</c:v>
                </c:pt>
                <c:pt idx="1">
                  <c:v>Old</c:v>
                </c:pt>
              </c:strCache>
            </c:strRef>
          </c:cat>
          <c:val>
            <c:numRef>
              <c:f>'Pivot Table'!$C$70:$C$72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157366"/>
        <c:axId val="779559692"/>
      </c:lineChart>
      <c:catAx>
        <c:axId val="3981573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Bracket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559692"/>
        <c:crosses val="autoZero"/>
        <c:auto val="1"/>
        <c:lblAlgn val="ctr"/>
        <c:lblOffset val="100"/>
        <c:noMultiLvlLbl val="0"/>
      </c:catAx>
      <c:valAx>
        <c:axId val="7795596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157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Avg Income Per Purchase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 </c:formatCode>
                <c:ptCount val="2"/>
                <c:pt idx="1">
                  <c:v>15000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 </c:formatCode>
                <c:ptCount val="2"/>
                <c:pt idx="0">
                  <c:v>120000</c:v>
                </c:pt>
                <c:pt idx="1">
                  <c:v>30000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4547570"/>
        <c:axId val="652734706"/>
      </c:barChart>
      <c:catAx>
        <c:axId val="69454757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734706"/>
        <c:crosses val="autoZero"/>
        <c:auto val="1"/>
        <c:lblAlgn val="ctr"/>
        <c:lblOffset val="100"/>
        <c:noMultiLvlLbl val="0"/>
      </c:catAx>
      <c:valAx>
        <c:axId val="6527347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5475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135a00-792d-46f3-aae0-e5e71e4bc4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Table'!$A$35:$A$37</c:f>
              <c:strCache>
                <c:ptCount val="2"/>
                <c:pt idx="0">
                  <c:v>5-10 Miles</c:v>
                </c:pt>
                <c:pt idx="1">
                  <c:v>More than 10 miles Miles</c:v>
                </c:pt>
              </c:strCache>
            </c:strRef>
          </c:cat>
          <c:val>
            <c:numRef>
              <c:f>'Pivot Table'!$B$35:$B$37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Table'!$A$35:$A$37</c:f>
              <c:strCache>
                <c:ptCount val="2"/>
                <c:pt idx="0">
                  <c:v>5-10 Miles</c:v>
                </c:pt>
                <c:pt idx="1">
                  <c:v>More than 10 miles Miles</c:v>
                </c:pt>
              </c:strCache>
            </c:strRef>
          </c:cat>
          <c:val>
            <c:numRef>
              <c:f>'Pivot Table'!$C$35:$C$37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7830869"/>
        <c:axId val="330869767"/>
      </c:lineChart>
      <c:catAx>
        <c:axId val="77783086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869767"/>
        <c:crosses val="autoZero"/>
        <c:auto val="1"/>
        <c:lblAlgn val="ctr"/>
        <c:lblOffset val="100"/>
        <c:noMultiLvlLbl val="0"/>
      </c:catAx>
      <c:valAx>
        <c:axId val="33086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8308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e37203-f7e9-4246-a01f-d83b38b91a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Cutomer Age Bracket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Table'!$B$68:$B$69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Table'!$A$70:$A$72</c:f>
              <c:strCache>
                <c:ptCount val="2"/>
                <c:pt idx="0">
                  <c:v>Middle aged</c:v>
                </c:pt>
                <c:pt idx="1">
                  <c:v>Old</c:v>
                </c:pt>
              </c:strCache>
            </c:strRef>
          </c:cat>
          <c:val>
            <c:numRef>
              <c:f>'Pivot Table'!$B$70:$B$72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Table'!$C$68:$C$69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Table'!$A$70:$A$72</c:f>
              <c:strCache>
                <c:ptCount val="2"/>
                <c:pt idx="0">
                  <c:v>Middle aged</c:v>
                </c:pt>
                <c:pt idx="1">
                  <c:v>Old</c:v>
                </c:pt>
              </c:strCache>
            </c:strRef>
          </c:cat>
          <c:val>
            <c:numRef>
              <c:f>'Pivot Table'!$C$70:$C$72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157366"/>
        <c:axId val="779559692"/>
      </c:lineChart>
      <c:catAx>
        <c:axId val="3981573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Bracket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559692"/>
        <c:crosses val="autoZero"/>
        <c:auto val="1"/>
        <c:lblAlgn val="ctr"/>
        <c:lblOffset val="100"/>
        <c:noMultiLvlLbl val="0"/>
      </c:catAx>
      <c:valAx>
        <c:axId val="7795596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157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f96aa1-01a5-4b03-b21c-de0e84400d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1206500</xdr:colOff>
      <xdr:row>8</xdr:row>
      <xdr:rowOff>56515</xdr:rowOff>
    </xdr:from>
    <xdr:to>
      <xdr:col>5</xdr:col>
      <xdr:colOff>165100</xdr:colOff>
      <xdr:row>22</xdr:row>
      <xdr:rowOff>6350</xdr:rowOff>
    </xdr:to>
    <xdr:graphicFrame>
      <xdr:nvGraphicFramePr>
        <xdr:cNvPr id="2" name="Chart 1"/>
        <xdr:cNvGraphicFramePr/>
      </xdr:nvGraphicFramePr>
      <xdr:xfrm>
        <a:off x="1206500" y="1529715"/>
        <a:ext cx="4343400" cy="2527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418465</xdr:colOff>
      <xdr:row>40</xdr:row>
      <xdr:rowOff>114300</xdr:rowOff>
    </xdr:from>
    <xdr:to>
      <xdr:col>6</xdr:col>
      <xdr:colOff>184150</xdr:colOff>
      <xdr:row>54</xdr:row>
      <xdr:rowOff>44450</xdr:rowOff>
    </xdr:to>
    <xdr:graphicFrame>
      <xdr:nvGraphicFramePr>
        <xdr:cNvPr id="3" name="Chart 2"/>
        <xdr:cNvGraphicFramePr/>
      </xdr:nvGraphicFramePr>
      <xdr:xfrm>
        <a:off x="2063115" y="7480300"/>
        <a:ext cx="4115435" cy="250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1283335</xdr:colOff>
      <xdr:row>73</xdr:row>
      <xdr:rowOff>120015</xdr:rowOff>
    </xdr:from>
    <xdr:to>
      <xdr:col>5</xdr:col>
      <xdr:colOff>444500</xdr:colOff>
      <xdr:row>86</xdr:row>
      <xdr:rowOff>107950</xdr:rowOff>
    </xdr:to>
    <xdr:graphicFrame>
      <xdr:nvGraphicFramePr>
        <xdr:cNvPr id="4" name="Chart 3"/>
        <xdr:cNvGraphicFramePr/>
      </xdr:nvGraphicFramePr>
      <xdr:xfrm>
        <a:off x="1283335" y="13562965"/>
        <a:ext cx="4545965" cy="2381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196215</xdr:colOff>
      <xdr:row>3</xdr:row>
      <xdr:rowOff>367665</xdr:rowOff>
    </xdr:from>
    <xdr:to>
      <xdr:col>9</xdr:col>
      <xdr:colOff>113030</xdr:colOff>
      <xdr:row>16</xdr:row>
      <xdr:rowOff>132080</xdr:rowOff>
    </xdr:to>
    <xdr:graphicFrame>
      <xdr:nvGraphicFramePr>
        <xdr:cNvPr id="2" name="Chart 1"/>
        <xdr:cNvGraphicFramePr/>
      </xdr:nvGraphicFramePr>
      <xdr:xfrm>
        <a:off x="2025015" y="1193165"/>
        <a:ext cx="3574415" cy="2431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17</xdr:row>
      <xdr:rowOff>144145</xdr:rowOff>
    </xdr:from>
    <xdr:to>
      <xdr:col>13</xdr:col>
      <xdr:colOff>254635</xdr:colOff>
      <xdr:row>32</xdr:row>
      <xdr:rowOff>64770</xdr:rowOff>
    </xdr:to>
    <xdr:graphicFrame>
      <xdr:nvGraphicFramePr>
        <xdr:cNvPr id="3" name="Chart 2"/>
        <xdr:cNvGraphicFramePr/>
      </xdr:nvGraphicFramePr>
      <xdr:xfrm>
        <a:off x="2495550" y="3820795"/>
        <a:ext cx="5683885" cy="268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269240</xdr:colOff>
      <xdr:row>3</xdr:row>
      <xdr:rowOff>355600</xdr:rowOff>
    </xdr:from>
    <xdr:to>
      <xdr:col>15</xdr:col>
      <xdr:colOff>527050</xdr:colOff>
      <xdr:row>16</xdr:row>
      <xdr:rowOff>28575</xdr:rowOff>
    </xdr:to>
    <xdr:graphicFrame>
      <xdr:nvGraphicFramePr>
        <xdr:cNvPr id="4" name="Chart 3"/>
        <xdr:cNvGraphicFramePr/>
      </xdr:nvGraphicFramePr>
      <xdr:xfrm>
        <a:off x="5755640" y="1181100"/>
        <a:ext cx="3915410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6350</xdr:colOff>
      <xdr:row>3</xdr:row>
      <xdr:rowOff>338455</xdr:rowOff>
    </xdr:from>
    <xdr:to>
      <xdr:col>2</xdr:col>
      <xdr:colOff>610235</xdr:colOff>
      <xdr:row>8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1163955"/>
              <a:ext cx="1823085" cy="986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16</xdr:row>
      <xdr:rowOff>50800</xdr:rowOff>
    </xdr:from>
    <xdr:to>
      <xdr:col>2</xdr:col>
      <xdr:colOff>610235</xdr:colOff>
      <xdr:row>26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3543300"/>
              <a:ext cx="1828800" cy="1891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8</xdr:row>
      <xdr:rowOff>184785</xdr:rowOff>
    </xdr:from>
    <xdr:to>
      <xdr:col>3</xdr:col>
      <xdr:colOff>38100</xdr:colOff>
      <xdr:row>15</xdr:row>
      <xdr:rowOff>182880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203450"/>
              <a:ext cx="1828800" cy="128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29845</xdr:colOff>
      <xdr:row>26</xdr:row>
      <xdr:rowOff>127000</xdr:rowOff>
    </xdr:from>
    <xdr:to>
      <xdr:col>3</xdr:col>
      <xdr:colOff>29845</xdr:colOff>
      <xdr:row>36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Occup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45" y="5461000"/>
              <a:ext cx="1828800" cy="172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3.8434837963" refreshedBy="Gift Nmesoma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h="1" x="2"/>
        <item h="1"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3:D3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h="1" x="2"/>
        <item h="1"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3"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8:D72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h="1" x="2"/>
        <item h="1"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" sourceName="Marital Statu">
  <pivotTables>
    <pivotTable tabId="3" name="PivotTable1"/>
    <pivotTable tabId="3" name="PivotTable2"/>
    <pivotTable tabId="3" name="PivotTable3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</pivotTables>
  <data>
    <tabular pivotCacheId="1">
      <items count="5">
        <i x="0" s="0"/>
        <i x="4" s="0"/>
        <i x="2" s="0"/>
        <i x="1" s="0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</pivotTables>
  <data>
    <tabular pivotCacheId="1">
      <items count="3">
        <i x="0" s="0"/>
        <i x="2" s="0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ccupation" sourceName="Occupation">
  <pivotTables>
    <pivotTable tabId="3" name="PivotTable1"/>
  </pivotTables>
  <data>
    <tabular pivotCacheId="1">
      <items count="5">
        <i x="1" s="1"/>
        <i x="2" s="1"/>
        <i x="4" s="1" nd="1"/>
        <i x="3" s="1" nd="1"/>
        <i x="0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" cache="Slicer_Marital_Statu" caption="Marital Statu" rowHeight="225425"/>
  <slicer name="Education" cache="Slicer_Education" caption="Education" rowHeight="225425"/>
  <slicer name="Region" cache="Slicer_Region" caption="Region" rowHeight="225425"/>
  <slicer name="Occupation" cache="Slicer_Occupation" caption="Occupat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2" sqref="A1:M1027"/>
    </sheetView>
  </sheetViews>
  <sheetFormatPr defaultColWidth="11.8909090909091" defaultRowHeight="14.5"/>
  <cols>
    <col min="13" max="13" width="15.4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9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9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9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9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9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9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9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9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9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9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9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9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9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9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9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9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9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9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9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9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9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9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9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9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9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9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9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9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9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9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9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9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9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9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9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9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9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9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9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9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9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9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9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9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9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9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9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9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9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9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9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9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9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9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9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9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9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9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9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9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9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9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9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9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9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9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9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9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9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9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9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9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9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9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9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9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9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9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9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9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9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9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9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9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9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9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9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9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9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9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9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9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9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9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9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9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9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9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9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9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9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9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9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9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9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9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9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9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9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9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9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9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9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9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9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9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9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9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9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9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9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9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9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9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9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9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9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9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9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9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9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9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9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9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9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9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9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9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9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9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9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9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9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9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9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9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9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9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9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9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9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9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9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9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9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9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9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9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9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9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9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9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9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9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9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9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9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9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9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9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9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9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9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9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9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9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9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9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9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9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9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9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9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9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9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9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9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9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9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9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9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9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9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9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9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9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9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9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9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9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9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9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9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9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9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9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9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9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9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9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9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9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9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9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9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9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9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9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9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9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9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9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9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9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9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9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9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9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9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9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9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9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9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9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9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9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9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9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9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9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9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9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9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9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9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9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9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9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9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9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9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9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9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9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9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9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9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9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9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9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9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9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9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9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9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9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9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9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9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9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9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9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9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9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9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9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9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9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9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9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9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9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9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9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9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9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9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9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9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9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9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9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9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9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9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9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9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9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9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9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9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9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9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9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9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9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9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9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9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9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9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9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9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9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9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9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9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9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9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9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9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9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9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9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9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9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9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9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9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9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9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9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9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9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9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9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9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9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9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9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9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9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9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9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9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9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9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9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9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9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9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9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9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9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9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9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9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9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9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9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9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9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9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9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9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9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9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9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9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9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9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9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9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9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9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9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9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9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9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9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9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9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9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9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9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9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9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9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9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9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9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9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9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9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9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9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9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9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9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9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9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9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9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9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9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9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9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9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9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9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9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9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9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9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9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9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9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9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9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9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9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9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9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9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9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9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9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9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9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9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9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9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9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9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9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9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9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9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9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9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9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9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9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9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9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9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9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9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9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9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9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9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9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9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9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9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9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9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9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9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9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9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9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9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9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9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9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9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9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9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9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9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9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9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9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9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9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9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9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9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9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9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9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9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9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9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9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9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9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9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9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9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9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9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9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9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9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9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9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9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9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9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9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9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9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9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9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9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9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9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9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9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9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9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9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9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9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9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9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9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9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9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9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9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9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9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9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9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9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9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9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9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9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9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9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9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9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9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9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9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9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9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9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9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9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9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9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9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9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9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9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9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9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9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9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9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9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9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9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9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9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9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9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9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9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9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9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9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9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9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9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9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9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9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9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9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9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9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9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9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9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9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9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9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9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9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9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9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9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9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9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9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9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9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9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9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9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9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9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9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9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9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9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9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9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9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9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9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9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9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9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9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9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9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9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9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9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9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9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9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9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9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9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9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9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9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9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9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9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9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9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9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9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9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9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9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9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9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9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9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9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9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9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9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9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9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9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9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9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9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9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9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9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9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9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9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9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9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9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9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9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9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9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9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9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9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9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9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9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9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9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9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9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9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9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9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9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9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9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9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9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9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9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9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9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9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9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9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9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9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9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9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9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9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9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9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9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9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9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9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9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9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9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9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9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9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9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9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9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9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9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9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9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9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9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9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9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9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9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9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9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9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9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9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9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9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9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9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9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9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9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9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9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9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9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9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9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9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9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9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9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9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9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9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9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9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9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9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9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9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9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9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9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9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9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9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9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9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9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9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9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9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9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9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9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9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9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9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9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9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9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9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9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9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9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9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9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9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9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9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9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9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9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9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9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9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9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9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9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9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9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9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9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9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9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9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9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9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9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9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9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9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9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9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9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9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9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9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9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9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9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9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9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9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9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9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9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9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9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9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9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9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9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9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9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9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9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9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9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9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9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9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9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9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9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9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9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9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9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9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9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9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9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9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9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9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9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9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9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9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9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9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9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9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9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9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9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9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9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9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9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9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9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9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9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9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9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9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9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9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9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9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9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9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9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9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9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9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9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9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9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9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9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9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9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9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9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9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9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9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9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9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9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9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9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9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9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9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9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9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9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9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9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9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9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9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9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9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9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9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9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9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9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9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9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9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9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9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9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9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9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9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9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9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9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9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9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9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9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9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9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9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9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9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9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9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9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9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9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9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9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9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9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9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9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9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9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9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9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9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9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9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9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9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9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9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9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9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9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9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9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9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9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9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9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9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9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9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9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9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9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9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9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9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9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9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9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9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9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9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9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9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9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9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9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9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9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9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9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9">
        <v>60000</v>
      </c>
      <c r="E997" s="8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9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9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9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9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9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9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9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9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9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9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9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9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9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9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9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9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9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9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9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9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9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9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9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9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9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9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9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9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9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J23" sqref="J23"/>
    </sheetView>
  </sheetViews>
  <sheetFormatPr defaultColWidth="8.72727272727273" defaultRowHeight="14.5"/>
  <cols>
    <col min="2" max="2" width="14.8181818181818" customWidth="1"/>
    <col min="3" max="3" width="11" customWidth="1"/>
    <col min="4" max="4" width="14.7272727272727" style="7" customWidth="1"/>
    <col min="5" max="5" width="14.4545454545455" customWidth="1"/>
    <col min="6" max="6" width="15.1818181818182" customWidth="1"/>
    <col min="7" max="7" width="15.9090909090909" customWidth="1"/>
    <col min="8" max="9" width="11.6363636363636" customWidth="1"/>
    <col min="10" max="10" width="13.6363636363636" customWidth="1"/>
    <col min="11" max="11" width="10.4545454545455" customWidth="1"/>
  </cols>
  <sheetData>
    <row r="1" spans="1:14">
      <c r="A1" t="s">
        <v>0</v>
      </c>
      <c r="B1" t="s">
        <v>36</v>
      </c>
      <c r="C1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>
      <c r="A2">
        <v>12496</v>
      </c>
      <c r="B2" t="s">
        <v>38</v>
      </c>
      <c r="C2" t="s">
        <v>39</v>
      </c>
      <c r="D2" s="7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aged",IF(L2&lt;31,"Adolescent","invalid")))</f>
        <v>Middle aged</v>
      </c>
      <c r="N2" t="s">
        <v>20</v>
      </c>
    </row>
    <row r="3" spans="1:14">
      <c r="A3">
        <v>24107</v>
      </c>
      <c r="B3" t="s">
        <v>38</v>
      </c>
      <c r="C3" t="s">
        <v>40</v>
      </c>
      <c r="D3" s="7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aged",IF(L3&lt;31,"Adolescent","invalid")))</f>
        <v>Middle aged</v>
      </c>
      <c r="N3" t="s">
        <v>20</v>
      </c>
    </row>
    <row r="4" spans="1:14">
      <c r="A4">
        <v>14177</v>
      </c>
      <c r="B4" t="s">
        <v>38</v>
      </c>
      <c r="C4" t="s">
        <v>40</v>
      </c>
      <c r="D4" s="7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41</v>
      </c>
      <c r="C5" t="s">
        <v>40</v>
      </c>
      <c r="D5" s="7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aged</v>
      </c>
      <c r="N5" t="s">
        <v>17</v>
      </c>
    </row>
    <row r="6" spans="1:14">
      <c r="A6">
        <v>25597</v>
      </c>
      <c r="B6" t="s">
        <v>41</v>
      </c>
      <c r="C6" t="s">
        <v>40</v>
      </c>
      <c r="D6" s="7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aged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aged</v>
      </c>
      <c r="N7" t="s">
        <v>20</v>
      </c>
    </row>
    <row r="8" spans="1:14">
      <c r="A8">
        <v>27974</v>
      </c>
      <c r="B8" t="s">
        <v>41</v>
      </c>
      <c r="C8" t="s">
        <v>40</v>
      </c>
      <c r="D8" s="7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aged</v>
      </c>
      <c r="N8" t="s">
        <v>17</v>
      </c>
    </row>
    <row r="9" spans="1:14">
      <c r="A9">
        <v>19364</v>
      </c>
      <c r="B9" t="s">
        <v>38</v>
      </c>
      <c r="C9" t="s">
        <v>40</v>
      </c>
      <c r="D9" s="7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aged</v>
      </c>
      <c r="N9" t="s">
        <v>17</v>
      </c>
    </row>
    <row r="10" spans="1:14">
      <c r="A10">
        <v>22155</v>
      </c>
      <c r="B10" t="s">
        <v>38</v>
      </c>
      <c r="C10" t="s">
        <v>40</v>
      </c>
      <c r="D10" s="7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38</v>
      </c>
      <c r="C11" t="s">
        <v>40</v>
      </c>
      <c r="D11" s="7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aged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7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aged</v>
      </c>
      <c r="N12" t="s">
        <v>17</v>
      </c>
    </row>
    <row r="13" spans="1:14">
      <c r="A13">
        <v>12697</v>
      </c>
      <c r="B13" t="s">
        <v>41</v>
      </c>
      <c r="C13" t="s">
        <v>39</v>
      </c>
      <c r="D13" s="7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42</v>
      </c>
      <c r="K13" t="s">
        <v>27</v>
      </c>
      <c r="L13">
        <v>36</v>
      </c>
      <c r="M13" t="str">
        <f t="shared" si="0"/>
        <v>Middle aged</v>
      </c>
      <c r="N13" t="s">
        <v>20</v>
      </c>
    </row>
    <row r="14" spans="1:14">
      <c r="A14">
        <v>11434</v>
      </c>
      <c r="B14" t="s">
        <v>38</v>
      </c>
      <c r="C14" t="s">
        <v>40</v>
      </c>
      <c r="D14" s="7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38</v>
      </c>
      <c r="C15" t="s">
        <v>40</v>
      </c>
      <c r="D15" s="7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aged</v>
      </c>
      <c r="N15" t="s">
        <v>17</v>
      </c>
    </row>
    <row r="16" spans="1:14">
      <c r="A16">
        <v>23542</v>
      </c>
      <c r="B16" t="s">
        <v>41</v>
      </c>
      <c r="C16" t="s">
        <v>40</v>
      </c>
      <c r="D16" s="7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aged</v>
      </c>
      <c r="N16" t="s">
        <v>17</v>
      </c>
    </row>
    <row r="17" spans="1:14">
      <c r="A17">
        <v>20870</v>
      </c>
      <c r="B17" t="s">
        <v>41</v>
      </c>
      <c r="C17" t="s">
        <v>39</v>
      </c>
      <c r="D17" s="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aged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7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7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aged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7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aged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7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7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aged</v>
      </c>
      <c r="N22" t="s">
        <v>17</v>
      </c>
    </row>
    <row r="23" spans="1:14">
      <c r="A23">
        <v>21564</v>
      </c>
      <c r="B23" t="s">
        <v>41</v>
      </c>
      <c r="C23" t="s">
        <v>39</v>
      </c>
      <c r="D23" s="7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42</v>
      </c>
      <c r="K23" t="s">
        <v>27</v>
      </c>
      <c r="L23">
        <v>35</v>
      </c>
      <c r="M23" t="str">
        <f t="shared" si="0"/>
        <v>Middle aged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7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aged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7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7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aged</v>
      </c>
      <c r="N26" t="s">
        <v>20</v>
      </c>
    </row>
    <row r="27" spans="1:14">
      <c r="A27">
        <v>12590</v>
      </c>
      <c r="B27" t="s">
        <v>41</v>
      </c>
      <c r="C27" t="s">
        <v>40</v>
      </c>
      <c r="D27" s="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41</v>
      </c>
      <c r="C28" t="s">
        <v>40</v>
      </c>
      <c r="D28" s="7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41</v>
      </c>
      <c r="C29" t="s">
        <v>39</v>
      </c>
      <c r="D29" s="7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aged</v>
      </c>
      <c r="N29" t="s">
        <v>20</v>
      </c>
    </row>
    <row r="30" spans="1:14">
      <c r="A30">
        <v>18299</v>
      </c>
      <c r="B30" t="s">
        <v>38</v>
      </c>
      <c r="C30" t="s">
        <v>40</v>
      </c>
      <c r="D30" s="7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aged</v>
      </c>
      <c r="N30" t="s">
        <v>20</v>
      </c>
    </row>
    <row r="31" spans="1:14">
      <c r="A31">
        <v>16466</v>
      </c>
      <c r="B31" t="s">
        <v>41</v>
      </c>
      <c r="C31" t="s">
        <v>39</v>
      </c>
      <c r="D31" s="7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aged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7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38</v>
      </c>
      <c r="C33" t="s">
        <v>40</v>
      </c>
      <c r="D33" s="7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41</v>
      </c>
      <c r="C34" t="s">
        <v>39</v>
      </c>
      <c r="D34" s="7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aged</v>
      </c>
      <c r="N34" t="s">
        <v>20</v>
      </c>
    </row>
    <row r="35" spans="1:14">
      <c r="A35">
        <v>18484</v>
      </c>
      <c r="B35" t="s">
        <v>41</v>
      </c>
      <c r="C35" t="s">
        <v>40</v>
      </c>
      <c r="D35" s="7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aged</v>
      </c>
      <c r="N35" t="s">
        <v>17</v>
      </c>
    </row>
    <row r="36" spans="1:14">
      <c r="A36">
        <v>12291</v>
      </c>
      <c r="B36" t="s">
        <v>41</v>
      </c>
      <c r="C36" t="s">
        <v>40</v>
      </c>
      <c r="D36" s="7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41</v>
      </c>
      <c r="C37" t="s">
        <v>39</v>
      </c>
      <c r="D37" s="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aged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7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aged</v>
      </c>
      <c r="N38" t="s">
        <v>17</v>
      </c>
    </row>
    <row r="39" spans="1:14">
      <c r="A39">
        <v>27832</v>
      </c>
      <c r="B39" t="s">
        <v>41</v>
      </c>
      <c r="C39" t="s">
        <v>39</v>
      </c>
      <c r="D39" s="7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41</v>
      </c>
      <c r="C40" t="s">
        <v>40</v>
      </c>
      <c r="D40" s="7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41</v>
      </c>
      <c r="C41" t="s">
        <v>39</v>
      </c>
      <c r="D41" s="7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aged</v>
      </c>
      <c r="N41" t="s">
        <v>17</v>
      </c>
    </row>
    <row r="42" spans="1:14">
      <c r="A42">
        <v>27803</v>
      </c>
      <c r="B42" t="s">
        <v>41</v>
      </c>
      <c r="C42" t="s">
        <v>39</v>
      </c>
      <c r="D42" s="7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aged</v>
      </c>
      <c r="N42" t="s">
        <v>20</v>
      </c>
    </row>
    <row r="43" spans="1:14">
      <c r="A43">
        <v>14347</v>
      </c>
      <c r="B43" t="s">
        <v>41</v>
      </c>
      <c r="C43" t="s">
        <v>39</v>
      </c>
      <c r="D43" s="7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7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aged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7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aged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7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aged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7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aged</v>
      </c>
      <c r="N48" t="s">
        <v>17</v>
      </c>
    </row>
    <row r="49" spans="1:14">
      <c r="A49">
        <v>29097</v>
      </c>
      <c r="B49" t="s">
        <v>41</v>
      </c>
      <c r="C49" t="s">
        <v>39</v>
      </c>
      <c r="D49" s="7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aged</v>
      </c>
      <c r="N49" t="s">
        <v>17</v>
      </c>
    </row>
    <row r="50" spans="1:14">
      <c r="A50">
        <v>19487</v>
      </c>
      <c r="B50" t="s">
        <v>38</v>
      </c>
      <c r="C50" t="s">
        <v>40</v>
      </c>
      <c r="D50" s="7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aged</v>
      </c>
      <c r="N50" t="s">
        <v>20</v>
      </c>
    </row>
    <row r="51" spans="1:14">
      <c r="A51">
        <v>14939</v>
      </c>
      <c r="B51" t="s">
        <v>41</v>
      </c>
      <c r="C51" t="s">
        <v>40</v>
      </c>
      <c r="D51" s="7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aged</v>
      </c>
      <c r="N51" t="s">
        <v>17</v>
      </c>
    </row>
    <row r="52" spans="1:14">
      <c r="A52">
        <v>13826</v>
      </c>
      <c r="B52" t="s">
        <v>41</v>
      </c>
      <c r="C52" t="s">
        <v>39</v>
      </c>
      <c r="D52" s="7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41</v>
      </c>
      <c r="C53" t="s">
        <v>40</v>
      </c>
      <c r="D53" s="7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42</v>
      </c>
      <c r="K53" t="s">
        <v>27</v>
      </c>
      <c r="L53">
        <v>35</v>
      </c>
      <c r="M53" t="str">
        <f t="shared" si="0"/>
        <v>Middle aged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7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41</v>
      </c>
      <c r="C55" t="s">
        <v>39</v>
      </c>
      <c r="D55" s="7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41</v>
      </c>
      <c r="C56" t="s">
        <v>39</v>
      </c>
      <c r="D56" s="7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aged</v>
      </c>
      <c r="N56" t="s">
        <v>20</v>
      </c>
    </row>
    <row r="57" spans="1:14">
      <c r="A57">
        <v>28906</v>
      </c>
      <c r="B57" t="s">
        <v>38</v>
      </c>
      <c r="C57" t="s">
        <v>40</v>
      </c>
      <c r="D57" s="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42</v>
      </c>
      <c r="K57" t="s">
        <v>19</v>
      </c>
      <c r="L57">
        <v>54</v>
      </c>
      <c r="M57" t="str">
        <f t="shared" si="0"/>
        <v>Middle aged</v>
      </c>
      <c r="N57" t="s">
        <v>20</v>
      </c>
    </row>
    <row r="58" spans="1:14">
      <c r="A58">
        <v>12808</v>
      </c>
      <c r="B58" t="s">
        <v>38</v>
      </c>
      <c r="C58" t="s">
        <v>40</v>
      </c>
      <c r="D58" s="7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aged</v>
      </c>
      <c r="N58" t="s">
        <v>17</v>
      </c>
    </row>
    <row r="59" spans="1:14">
      <c r="A59">
        <v>20567</v>
      </c>
      <c r="B59" t="s">
        <v>38</v>
      </c>
      <c r="C59" t="s">
        <v>40</v>
      </c>
      <c r="D59" s="7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7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aged</v>
      </c>
      <c r="N60" t="s">
        <v>17</v>
      </c>
    </row>
    <row r="61" spans="1:14">
      <c r="A61">
        <v>15580</v>
      </c>
      <c r="B61" t="s">
        <v>38</v>
      </c>
      <c r="C61" t="s">
        <v>40</v>
      </c>
      <c r="D61" s="7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aged</v>
      </c>
      <c r="N61" t="s">
        <v>17</v>
      </c>
    </row>
    <row r="62" spans="1:14">
      <c r="A62">
        <v>24185</v>
      </c>
      <c r="B62" t="s">
        <v>41</v>
      </c>
      <c r="C62" t="s">
        <v>39</v>
      </c>
      <c r="D62" s="7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aged</v>
      </c>
      <c r="N62" t="s">
        <v>20</v>
      </c>
    </row>
    <row r="63" spans="1:14">
      <c r="A63">
        <v>19291</v>
      </c>
      <c r="B63" t="s">
        <v>41</v>
      </c>
      <c r="C63" t="s">
        <v>39</v>
      </c>
      <c r="D63" s="7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aged</v>
      </c>
      <c r="N63" t="s">
        <v>20</v>
      </c>
    </row>
    <row r="64" spans="1:14">
      <c r="A64">
        <v>16713</v>
      </c>
      <c r="B64" t="s">
        <v>38</v>
      </c>
      <c r="C64" t="s">
        <v>40</v>
      </c>
      <c r="D64" s="7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aged</v>
      </c>
      <c r="N64" t="s">
        <v>17</v>
      </c>
    </row>
    <row r="65" spans="1:14">
      <c r="A65">
        <v>16185</v>
      </c>
      <c r="B65" t="s">
        <v>41</v>
      </c>
      <c r="C65" t="s">
        <v>40</v>
      </c>
      <c r="D65" s="7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42</v>
      </c>
      <c r="K65" t="s">
        <v>27</v>
      </c>
      <c r="L65">
        <v>41</v>
      </c>
      <c r="M65" t="str">
        <f t="shared" si="0"/>
        <v>Middle aged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7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aged</v>
      </c>
      <c r="N66" t="s">
        <v>17</v>
      </c>
    </row>
    <row r="67" spans="1:14">
      <c r="A67">
        <v>29337</v>
      </c>
      <c r="B67" t="s">
        <v>41</v>
      </c>
      <c r="C67" t="s">
        <v>40</v>
      </c>
      <c r="D67" s="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aged",IF(L67&lt;31,"Adolescent","invalid")))</f>
        <v>Old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7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aged</v>
      </c>
      <c r="N68" t="s">
        <v>17</v>
      </c>
    </row>
    <row r="69" spans="1:14">
      <c r="A69">
        <v>25303</v>
      </c>
      <c r="B69" t="s">
        <v>41</v>
      </c>
      <c r="C69" t="s">
        <v>40</v>
      </c>
      <c r="D69" s="7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aged</v>
      </c>
      <c r="N69" t="s">
        <v>17</v>
      </c>
    </row>
    <row r="70" spans="1:14">
      <c r="A70">
        <v>14813</v>
      </c>
      <c r="B70" t="s">
        <v>41</v>
      </c>
      <c r="C70" t="s">
        <v>39</v>
      </c>
      <c r="D70" s="7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aged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7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38</v>
      </c>
      <c r="C72" t="s">
        <v>40</v>
      </c>
      <c r="D72" s="7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42</v>
      </c>
      <c r="K72" t="s">
        <v>27</v>
      </c>
      <c r="L72">
        <v>36</v>
      </c>
      <c r="M72" t="str">
        <f t="shared" si="1"/>
        <v>Middle aged</v>
      </c>
      <c r="N72" t="s">
        <v>17</v>
      </c>
    </row>
    <row r="73" spans="1:14">
      <c r="A73">
        <v>16200</v>
      </c>
      <c r="B73" t="s">
        <v>41</v>
      </c>
      <c r="C73" t="s">
        <v>39</v>
      </c>
      <c r="D73" s="7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aged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7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aged</v>
      </c>
      <c r="N74" t="s">
        <v>20</v>
      </c>
    </row>
    <row r="75" spans="1:14">
      <c r="A75">
        <v>26956</v>
      </c>
      <c r="B75" t="s">
        <v>41</v>
      </c>
      <c r="C75" t="s">
        <v>39</v>
      </c>
      <c r="D75" s="7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aged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7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41</v>
      </c>
      <c r="C77" t="s">
        <v>39</v>
      </c>
      <c r="D77" s="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aged</v>
      </c>
      <c r="N77" t="s">
        <v>20</v>
      </c>
    </row>
    <row r="78" spans="1:14">
      <c r="A78">
        <v>16188</v>
      </c>
      <c r="B78" t="s">
        <v>41</v>
      </c>
      <c r="C78" t="s">
        <v>39</v>
      </c>
      <c r="D78" s="7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38</v>
      </c>
      <c r="C79" t="s">
        <v>40</v>
      </c>
      <c r="D79" s="7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42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38</v>
      </c>
      <c r="C80" t="s">
        <v>40</v>
      </c>
      <c r="D80" s="7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aged</v>
      </c>
      <c r="N80" t="s">
        <v>17</v>
      </c>
    </row>
    <row r="81" spans="1:14">
      <c r="A81">
        <v>27745</v>
      </c>
      <c r="B81" t="s">
        <v>41</v>
      </c>
      <c r="C81" t="s">
        <v>40</v>
      </c>
      <c r="D81" s="7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7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aged</v>
      </c>
      <c r="N82" t="s">
        <v>17</v>
      </c>
    </row>
    <row r="83" spans="1:14">
      <c r="A83">
        <v>19461</v>
      </c>
      <c r="B83" t="s">
        <v>41</v>
      </c>
      <c r="C83" t="s">
        <v>39</v>
      </c>
      <c r="D83" s="7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aged</v>
      </c>
      <c r="N83" t="s">
        <v>20</v>
      </c>
    </row>
    <row r="84" spans="1:14">
      <c r="A84">
        <v>26941</v>
      </c>
      <c r="B84" t="s">
        <v>38</v>
      </c>
      <c r="C84" t="s">
        <v>40</v>
      </c>
      <c r="D84" s="7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aged</v>
      </c>
      <c r="N84" t="s">
        <v>17</v>
      </c>
    </row>
    <row r="85" spans="1:14">
      <c r="A85">
        <v>28412</v>
      </c>
      <c r="B85" t="s">
        <v>41</v>
      </c>
      <c r="C85" t="s">
        <v>40</v>
      </c>
      <c r="D85" s="7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41</v>
      </c>
      <c r="C86" t="s">
        <v>40</v>
      </c>
      <c r="D86" s="7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aged</v>
      </c>
      <c r="N86" t="s">
        <v>17</v>
      </c>
    </row>
    <row r="87" spans="1:14">
      <c r="A87">
        <v>16514</v>
      </c>
      <c r="B87" t="s">
        <v>41</v>
      </c>
      <c r="C87" t="s">
        <v>40</v>
      </c>
      <c r="D87" s="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41</v>
      </c>
      <c r="C88" t="s">
        <v>40</v>
      </c>
      <c r="D88" s="7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aged</v>
      </c>
      <c r="N88" t="s">
        <v>17</v>
      </c>
    </row>
    <row r="89" spans="1:14">
      <c r="A89">
        <v>19608</v>
      </c>
      <c r="B89" t="s">
        <v>38</v>
      </c>
      <c r="C89" t="s">
        <v>40</v>
      </c>
      <c r="D89" s="7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aged</v>
      </c>
      <c r="N89" t="s">
        <v>20</v>
      </c>
    </row>
    <row r="90" spans="1:14">
      <c r="A90">
        <v>24119</v>
      </c>
      <c r="B90" t="s">
        <v>41</v>
      </c>
      <c r="C90" t="s">
        <v>40</v>
      </c>
      <c r="D90" s="7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38</v>
      </c>
      <c r="C91" t="s">
        <v>40</v>
      </c>
      <c r="D91" s="7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aged</v>
      </c>
      <c r="N91" t="s">
        <v>17</v>
      </c>
    </row>
    <row r="92" spans="1:14">
      <c r="A92">
        <v>26886</v>
      </c>
      <c r="B92" t="s">
        <v>41</v>
      </c>
      <c r="C92" t="s">
        <v>39</v>
      </c>
      <c r="D92" s="7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41</v>
      </c>
      <c r="C93" t="s">
        <v>40</v>
      </c>
      <c r="D93" s="7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41</v>
      </c>
      <c r="C94" t="s">
        <v>39</v>
      </c>
      <c r="D94" s="7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aged</v>
      </c>
      <c r="N94" t="s">
        <v>17</v>
      </c>
    </row>
    <row r="95" spans="1:14">
      <c r="A95">
        <v>15608</v>
      </c>
      <c r="B95" t="s">
        <v>41</v>
      </c>
      <c r="C95" t="s">
        <v>39</v>
      </c>
      <c r="D95" s="7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aged</v>
      </c>
      <c r="N95" t="s">
        <v>20</v>
      </c>
    </row>
    <row r="96" spans="1:14">
      <c r="A96">
        <v>16487</v>
      </c>
      <c r="B96" t="s">
        <v>41</v>
      </c>
      <c r="C96" t="s">
        <v>39</v>
      </c>
      <c r="D96" s="7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41</v>
      </c>
      <c r="C97" t="s">
        <v>39</v>
      </c>
      <c r="D97" s="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42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38</v>
      </c>
      <c r="C98" t="s">
        <v>40</v>
      </c>
      <c r="D98" s="7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aged</v>
      </c>
      <c r="N98" t="s">
        <v>20</v>
      </c>
    </row>
    <row r="99" spans="1:14">
      <c r="A99">
        <v>23940</v>
      </c>
      <c r="B99" t="s">
        <v>38</v>
      </c>
      <c r="C99" t="s">
        <v>40</v>
      </c>
      <c r="D99" s="7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aged</v>
      </c>
      <c r="N99" t="s">
        <v>17</v>
      </c>
    </row>
    <row r="100" spans="1:14">
      <c r="A100">
        <v>19441</v>
      </c>
      <c r="B100" t="s">
        <v>38</v>
      </c>
      <c r="C100" t="s">
        <v>40</v>
      </c>
      <c r="D100" s="7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7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aged</v>
      </c>
      <c r="N101" t="s">
        <v>20</v>
      </c>
    </row>
    <row r="102" spans="1:14">
      <c r="A102">
        <v>12274</v>
      </c>
      <c r="B102" t="s">
        <v>41</v>
      </c>
      <c r="C102" t="s">
        <v>40</v>
      </c>
      <c r="D102" s="7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aged</v>
      </c>
      <c r="N102" t="s">
        <v>20</v>
      </c>
    </row>
    <row r="103" spans="1:14">
      <c r="A103">
        <v>20236</v>
      </c>
      <c r="B103" t="s">
        <v>41</v>
      </c>
      <c r="C103" t="s">
        <v>40</v>
      </c>
      <c r="D103" s="7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aged</v>
      </c>
      <c r="N103" t="s">
        <v>17</v>
      </c>
    </row>
    <row r="104" spans="1:14">
      <c r="A104">
        <v>24149</v>
      </c>
      <c r="B104" t="s">
        <v>38</v>
      </c>
      <c r="C104" t="s">
        <v>40</v>
      </c>
      <c r="D104" s="7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aged</v>
      </c>
      <c r="N104" t="s">
        <v>20</v>
      </c>
    </row>
    <row r="105" spans="1:14">
      <c r="A105">
        <v>26139</v>
      </c>
      <c r="B105" t="s">
        <v>41</v>
      </c>
      <c r="C105" t="s">
        <v>40</v>
      </c>
      <c r="D105" s="7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aged</v>
      </c>
      <c r="N105" t="s">
        <v>20</v>
      </c>
    </row>
    <row r="106" spans="1:14">
      <c r="A106">
        <v>18491</v>
      </c>
      <c r="B106" t="s">
        <v>41</v>
      </c>
      <c r="C106" t="s">
        <v>39</v>
      </c>
      <c r="D106" s="7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aged</v>
      </c>
      <c r="N106" t="s">
        <v>17</v>
      </c>
    </row>
    <row r="107" spans="1:14">
      <c r="A107">
        <v>22707</v>
      </c>
      <c r="B107" t="s">
        <v>41</v>
      </c>
      <c r="C107" t="s">
        <v>39</v>
      </c>
      <c r="D107" s="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38</v>
      </c>
      <c r="C108" t="s">
        <v>40</v>
      </c>
      <c r="D108" s="7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aged</v>
      </c>
      <c r="N108" t="s">
        <v>17</v>
      </c>
    </row>
    <row r="109" spans="1:14">
      <c r="A109">
        <v>27494</v>
      </c>
      <c r="B109" t="s">
        <v>41</v>
      </c>
      <c r="C109" t="s">
        <v>39</v>
      </c>
      <c r="D109" s="7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aged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7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aged</v>
      </c>
      <c r="N110" t="s">
        <v>17</v>
      </c>
    </row>
    <row r="111" spans="1:14">
      <c r="A111">
        <v>28395</v>
      </c>
      <c r="B111" t="s">
        <v>41</v>
      </c>
      <c r="C111" t="s">
        <v>40</v>
      </c>
      <c r="D111" s="7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aged</v>
      </c>
      <c r="N111" t="s">
        <v>17</v>
      </c>
    </row>
    <row r="112" spans="1:14">
      <c r="A112">
        <v>21006</v>
      </c>
      <c r="B112" t="s">
        <v>41</v>
      </c>
      <c r="C112" t="s">
        <v>39</v>
      </c>
      <c r="D112" s="7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aged</v>
      </c>
      <c r="N112" t="s">
        <v>17</v>
      </c>
    </row>
    <row r="113" spans="1:14">
      <c r="A113">
        <v>14682</v>
      </c>
      <c r="B113" t="s">
        <v>41</v>
      </c>
      <c r="C113" t="s">
        <v>39</v>
      </c>
      <c r="D113" s="7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aged</v>
      </c>
      <c r="N113" t="s">
        <v>20</v>
      </c>
    </row>
    <row r="114" spans="1:14">
      <c r="A114">
        <v>17650</v>
      </c>
      <c r="B114" t="s">
        <v>41</v>
      </c>
      <c r="C114" t="s">
        <v>39</v>
      </c>
      <c r="D114" s="7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aged</v>
      </c>
      <c r="N114" t="s">
        <v>20</v>
      </c>
    </row>
    <row r="115" spans="1:14">
      <c r="A115">
        <v>29191</v>
      </c>
      <c r="B115" t="s">
        <v>41</v>
      </c>
      <c r="C115" t="s">
        <v>39</v>
      </c>
      <c r="D115" s="7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aged</v>
      </c>
      <c r="N115" t="s">
        <v>17</v>
      </c>
    </row>
    <row r="116" spans="1:14">
      <c r="A116">
        <v>15030</v>
      </c>
      <c r="B116" t="s">
        <v>38</v>
      </c>
      <c r="C116" t="s">
        <v>40</v>
      </c>
      <c r="D116" s="7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41</v>
      </c>
      <c r="C117" t="s">
        <v>40</v>
      </c>
      <c r="D117" s="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7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aged</v>
      </c>
      <c r="N118" t="s">
        <v>20</v>
      </c>
    </row>
    <row r="119" spans="1:14">
      <c r="A119">
        <v>24065</v>
      </c>
      <c r="B119" t="s">
        <v>41</v>
      </c>
      <c r="C119" t="s">
        <v>39</v>
      </c>
      <c r="D119" s="7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aged</v>
      </c>
      <c r="N119" t="s">
        <v>17</v>
      </c>
    </row>
    <row r="120" spans="1:14">
      <c r="A120">
        <v>19914</v>
      </c>
      <c r="B120" t="s">
        <v>38</v>
      </c>
      <c r="C120" t="s">
        <v>40</v>
      </c>
      <c r="D120" s="7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41</v>
      </c>
      <c r="C121" t="s">
        <v>39</v>
      </c>
      <c r="D121" s="7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7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38</v>
      </c>
      <c r="C123" t="s">
        <v>40</v>
      </c>
      <c r="D123" s="7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aged</v>
      </c>
      <c r="N123" t="s">
        <v>20</v>
      </c>
    </row>
    <row r="124" spans="1:14">
      <c r="A124">
        <v>12344</v>
      </c>
      <c r="B124" t="s">
        <v>41</v>
      </c>
      <c r="C124" t="s">
        <v>39</v>
      </c>
      <c r="D124" s="7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42</v>
      </c>
      <c r="K124" t="s">
        <v>27</v>
      </c>
      <c r="L124">
        <v>31</v>
      </c>
      <c r="M124" t="str">
        <f t="shared" si="1"/>
        <v>Middle aged</v>
      </c>
      <c r="N124" t="s">
        <v>20</v>
      </c>
    </row>
    <row r="125" spans="1:14">
      <c r="A125">
        <v>23627</v>
      </c>
      <c r="B125" t="s">
        <v>41</v>
      </c>
      <c r="C125" t="s">
        <v>39</v>
      </c>
      <c r="D125" s="7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41</v>
      </c>
      <c r="C126" t="s">
        <v>39</v>
      </c>
      <c r="D126" s="7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aged</v>
      </c>
      <c r="N126" t="s">
        <v>17</v>
      </c>
    </row>
    <row r="127" spans="1:14">
      <c r="A127">
        <v>29301</v>
      </c>
      <c r="B127" t="s">
        <v>38</v>
      </c>
      <c r="C127" t="s">
        <v>40</v>
      </c>
      <c r="D127" s="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aged</v>
      </c>
      <c r="N127" t="s">
        <v>20</v>
      </c>
    </row>
    <row r="128" spans="1:14">
      <c r="A128">
        <v>12716</v>
      </c>
      <c r="B128" t="s">
        <v>41</v>
      </c>
      <c r="C128" t="s">
        <v>40</v>
      </c>
      <c r="D128" s="7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aged</v>
      </c>
      <c r="N128" t="s">
        <v>20</v>
      </c>
    </row>
    <row r="129" spans="1:14">
      <c r="A129">
        <v>12472</v>
      </c>
      <c r="B129" t="s">
        <v>38</v>
      </c>
      <c r="C129" t="s">
        <v>40</v>
      </c>
      <c r="D129" s="7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aged</v>
      </c>
      <c r="N129" t="s">
        <v>20</v>
      </c>
    </row>
    <row r="130" spans="1:14">
      <c r="A130">
        <v>20970</v>
      </c>
      <c r="B130" t="s">
        <v>41</v>
      </c>
      <c r="C130" t="s">
        <v>40</v>
      </c>
      <c r="D130" s="7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aged</v>
      </c>
      <c r="N130" t="s">
        <v>17</v>
      </c>
    </row>
    <row r="131" spans="1:14">
      <c r="A131">
        <v>26818</v>
      </c>
      <c r="B131" t="s">
        <v>41</v>
      </c>
      <c r="C131" t="s">
        <v>40</v>
      </c>
      <c r="D131" s="7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aged",IF(L131&lt;31,"Adolescent","invalid")))</f>
        <v>Middle aged</v>
      </c>
      <c r="N131" t="s">
        <v>17</v>
      </c>
    </row>
    <row r="132" spans="1:14">
      <c r="A132">
        <v>12993</v>
      </c>
      <c r="B132" t="s">
        <v>38</v>
      </c>
      <c r="C132" t="s">
        <v>40</v>
      </c>
      <c r="D132" s="7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aged</v>
      </c>
      <c r="N132" t="s">
        <v>20</v>
      </c>
    </row>
    <row r="133" spans="1:14">
      <c r="A133">
        <v>14192</v>
      </c>
      <c r="B133" t="s">
        <v>38</v>
      </c>
      <c r="C133" t="s">
        <v>40</v>
      </c>
      <c r="D133" s="7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38</v>
      </c>
      <c r="C134" t="s">
        <v>40</v>
      </c>
      <c r="D134" s="7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aged</v>
      </c>
      <c r="N134" t="s">
        <v>17</v>
      </c>
    </row>
    <row r="135" spans="1:14">
      <c r="A135">
        <v>26796</v>
      </c>
      <c r="B135" t="s">
        <v>41</v>
      </c>
      <c r="C135" t="s">
        <v>40</v>
      </c>
      <c r="D135" s="7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41</v>
      </c>
      <c r="C136" t="s">
        <v>39</v>
      </c>
      <c r="D136" s="7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aged</v>
      </c>
      <c r="N136" t="s">
        <v>20</v>
      </c>
    </row>
    <row r="137" spans="1:14">
      <c r="A137">
        <v>12234</v>
      </c>
      <c r="B137" t="s">
        <v>38</v>
      </c>
      <c r="C137" t="s">
        <v>40</v>
      </c>
      <c r="D137" s="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aged</v>
      </c>
      <c r="N137" t="s">
        <v>20</v>
      </c>
    </row>
    <row r="138" spans="1:14">
      <c r="A138">
        <v>28683</v>
      </c>
      <c r="B138" t="s">
        <v>41</v>
      </c>
      <c r="C138" t="s">
        <v>39</v>
      </c>
      <c r="D138" s="7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aged</v>
      </c>
      <c r="N138" t="s">
        <v>17</v>
      </c>
    </row>
    <row r="139" spans="1:14">
      <c r="A139">
        <v>17994</v>
      </c>
      <c r="B139" t="s">
        <v>41</v>
      </c>
      <c r="C139" t="s">
        <v>40</v>
      </c>
      <c r="D139" s="7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aged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7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41</v>
      </c>
      <c r="C141" t="s">
        <v>39</v>
      </c>
      <c r="D141" s="7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41</v>
      </c>
      <c r="C142" t="s">
        <v>40</v>
      </c>
      <c r="D142" s="7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aged</v>
      </c>
      <c r="N142" t="s">
        <v>17</v>
      </c>
    </row>
    <row r="143" spans="1:14">
      <c r="A143">
        <v>23993</v>
      </c>
      <c r="B143" t="s">
        <v>41</v>
      </c>
      <c r="C143" t="s">
        <v>39</v>
      </c>
      <c r="D143" s="7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38</v>
      </c>
      <c r="C144" t="s">
        <v>40</v>
      </c>
      <c r="D144" s="7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aged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7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42</v>
      </c>
      <c r="K145" t="s">
        <v>27</v>
      </c>
      <c r="L145">
        <v>32</v>
      </c>
      <c r="M145" t="str">
        <f t="shared" si="2"/>
        <v>Middle aged</v>
      </c>
      <c r="N145" t="s">
        <v>20</v>
      </c>
    </row>
    <row r="146" spans="1:14">
      <c r="A146">
        <v>20877</v>
      </c>
      <c r="B146" t="s">
        <v>41</v>
      </c>
      <c r="C146" t="s">
        <v>40</v>
      </c>
      <c r="D146" s="7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aged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aged</v>
      </c>
      <c r="N147" t="s">
        <v>20</v>
      </c>
    </row>
    <row r="148" spans="1:14">
      <c r="A148">
        <v>22464</v>
      </c>
      <c r="B148" t="s">
        <v>38</v>
      </c>
      <c r="C148" t="s">
        <v>40</v>
      </c>
      <c r="D148" s="7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aged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7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aged</v>
      </c>
      <c r="N149" t="s">
        <v>17</v>
      </c>
    </row>
    <row r="150" spans="1:14">
      <c r="A150">
        <v>19675</v>
      </c>
      <c r="B150" t="s">
        <v>38</v>
      </c>
      <c r="C150" t="s">
        <v>40</v>
      </c>
      <c r="D150" s="7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41</v>
      </c>
      <c r="C151" t="s">
        <v>40</v>
      </c>
      <c r="D151" s="7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38</v>
      </c>
      <c r="C152" t="s">
        <v>40</v>
      </c>
      <c r="D152" s="7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aged</v>
      </c>
      <c r="N152" t="s">
        <v>17</v>
      </c>
    </row>
    <row r="153" spans="1:14">
      <c r="A153">
        <v>29117</v>
      </c>
      <c r="B153" t="s">
        <v>41</v>
      </c>
      <c r="C153" t="s">
        <v>40</v>
      </c>
      <c r="D153" s="7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aged</v>
      </c>
      <c r="N153" t="s">
        <v>20</v>
      </c>
    </row>
    <row r="154" spans="1:14">
      <c r="A154">
        <v>17845</v>
      </c>
      <c r="B154" t="s">
        <v>41</v>
      </c>
      <c r="C154" t="s">
        <v>39</v>
      </c>
      <c r="D154" s="7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aged</v>
      </c>
      <c r="N154" t="s">
        <v>20</v>
      </c>
    </row>
    <row r="155" spans="1:14">
      <c r="A155">
        <v>25058</v>
      </c>
      <c r="B155" t="s">
        <v>38</v>
      </c>
      <c r="C155" t="s">
        <v>40</v>
      </c>
      <c r="D155" s="7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aged</v>
      </c>
      <c r="N155" t="s">
        <v>20</v>
      </c>
    </row>
    <row r="156" spans="1:14">
      <c r="A156">
        <v>23426</v>
      </c>
      <c r="B156" t="s">
        <v>41</v>
      </c>
      <c r="C156" t="s">
        <v>40</v>
      </c>
      <c r="D156" s="7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aged</v>
      </c>
      <c r="N156" t="s">
        <v>20</v>
      </c>
    </row>
    <row r="157" spans="1:14">
      <c r="A157">
        <v>14798</v>
      </c>
      <c r="B157" t="s">
        <v>41</v>
      </c>
      <c r="C157" t="s">
        <v>39</v>
      </c>
      <c r="D157" s="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aged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7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41</v>
      </c>
      <c r="C159" t="s">
        <v>40</v>
      </c>
      <c r="D159" s="7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aged</v>
      </c>
      <c r="N159" t="s">
        <v>20</v>
      </c>
    </row>
    <row r="160" spans="1:14">
      <c r="A160">
        <v>25605</v>
      </c>
      <c r="B160" t="s">
        <v>41</v>
      </c>
      <c r="C160" t="s">
        <v>39</v>
      </c>
      <c r="D160" s="7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aged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7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aged</v>
      </c>
      <c r="N161" t="s">
        <v>20</v>
      </c>
    </row>
    <row r="162" spans="1:14">
      <c r="A162">
        <v>21980</v>
      </c>
      <c r="B162" t="s">
        <v>41</v>
      </c>
      <c r="C162" t="s">
        <v>39</v>
      </c>
      <c r="D162" s="7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aged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7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aged</v>
      </c>
      <c r="N163" t="s">
        <v>17</v>
      </c>
    </row>
    <row r="164" spans="1:14">
      <c r="A164">
        <v>29181</v>
      </c>
      <c r="B164" t="s">
        <v>41</v>
      </c>
      <c r="C164" t="s">
        <v>39</v>
      </c>
      <c r="D164" s="7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aged</v>
      </c>
      <c r="N164" t="s">
        <v>17</v>
      </c>
    </row>
    <row r="165" spans="1:14">
      <c r="A165">
        <v>24279</v>
      </c>
      <c r="B165" t="s">
        <v>41</v>
      </c>
      <c r="C165" t="s">
        <v>40</v>
      </c>
      <c r="D165" s="7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aged</v>
      </c>
      <c r="N165" t="s">
        <v>20</v>
      </c>
    </row>
    <row r="166" spans="1:14">
      <c r="A166">
        <v>22402</v>
      </c>
      <c r="B166" t="s">
        <v>38</v>
      </c>
      <c r="C166" t="s">
        <v>40</v>
      </c>
      <c r="D166" s="7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41</v>
      </c>
      <c r="C168" t="s">
        <v>40</v>
      </c>
      <c r="D168" s="7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aged</v>
      </c>
      <c r="N168" t="s">
        <v>17</v>
      </c>
    </row>
    <row r="169" spans="1:14">
      <c r="A169">
        <v>14233</v>
      </c>
      <c r="B169" t="s">
        <v>41</v>
      </c>
      <c r="C169" t="s">
        <v>40</v>
      </c>
      <c r="D169" s="7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42</v>
      </c>
      <c r="K169" t="s">
        <v>27</v>
      </c>
      <c r="L169">
        <v>35</v>
      </c>
      <c r="M169" t="str">
        <f t="shared" si="2"/>
        <v>Middle aged</v>
      </c>
      <c r="N169" t="s">
        <v>20</v>
      </c>
    </row>
    <row r="170" spans="1:14">
      <c r="A170">
        <v>14058</v>
      </c>
      <c r="B170" t="s">
        <v>41</v>
      </c>
      <c r="C170" t="s">
        <v>40</v>
      </c>
      <c r="D170" s="7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aged</v>
      </c>
      <c r="N170" t="s">
        <v>17</v>
      </c>
    </row>
    <row r="171" spans="1:14">
      <c r="A171">
        <v>12273</v>
      </c>
      <c r="B171" t="s">
        <v>38</v>
      </c>
      <c r="C171" t="s">
        <v>40</v>
      </c>
      <c r="D171" s="7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aged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7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7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38</v>
      </c>
      <c r="C174" t="s">
        <v>40</v>
      </c>
      <c r="D174" s="7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aged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7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41</v>
      </c>
      <c r="C176" t="s">
        <v>40</v>
      </c>
      <c r="D176" s="7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aged</v>
      </c>
      <c r="N176" t="s">
        <v>17</v>
      </c>
    </row>
    <row r="177" spans="1:14">
      <c r="A177">
        <v>17504</v>
      </c>
      <c r="B177" t="s">
        <v>41</v>
      </c>
      <c r="C177" t="s">
        <v>39</v>
      </c>
      <c r="D177" s="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aged</v>
      </c>
      <c r="N177" t="s">
        <v>17</v>
      </c>
    </row>
    <row r="178" spans="1:14">
      <c r="A178">
        <v>12253</v>
      </c>
      <c r="B178" t="s">
        <v>41</v>
      </c>
      <c r="C178" t="s">
        <v>39</v>
      </c>
      <c r="D178" s="7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41</v>
      </c>
      <c r="C179" t="s">
        <v>39</v>
      </c>
      <c r="D179" s="7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aged</v>
      </c>
      <c r="N179" t="s">
        <v>20</v>
      </c>
    </row>
    <row r="180" spans="1:14">
      <c r="A180">
        <v>14191</v>
      </c>
      <c r="B180" t="s">
        <v>38</v>
      </c>
      <c r="C180" t="s">
        <v>40</v>
      </c>
      <c r="D180" s="7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42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7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aged</v>
      </c>
      <c r="N181" t="s">
        <v>17</v>
      </c>
    </row>
    <row r="182" spans="1:14">
      <c r="A182">
        <v>25529</v>
      </c>
      <c r="B182" t="s">
        <v>41</v>
      </c>
      <c r="C182" t="s">
        <v>40</v>
      </c>
      <c r="D182" s="7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aged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7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7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aged</v>
      </c>
      <c r="N184" t="s">
        <v>20</v>
      </c>
    </row>
    <row r="185" spans="1:14">
      <c r="A185">
        <v>15265</v>
      </c>
      <c r="B185" t="s">
        <v>41</v>
      </c>
      <c r="C185" t="s">
        <v>40</v>
      </c>
      <c r="D185" s="7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7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42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aged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7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41</v>
      </c>
      <c r="C189" t="s">
        <v>40</v>
      </c>
      <c r="D189" s="7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42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7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42</v>
      </c>
      <c r="K190" t="s">
        <v>27</v>
      </c>
      <c r="L190">
        <v>32</v>
      </c>
      <c r="M190" t="str">
        <f t="shared" si="2"/>
        <v>Middle aged</v>
      </c>
      <c r="N190" t="s">
        <v>17</v>
      </c>
    </row>
    <row r="191" spans="1:14">
      <c r="A191">
        <v>19482</v>
      </c>
      <c r="B191" t="s">
        <v>38</v>
      </c>
      <c r="C191" t="s">
        <v>40</v>
      </c>
      <c r="D191" s="7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aged</v>
      </c>
      <c r="N191" t="s">
        <v>17</v>
      </c>
    </row>
    <row r="192" spans="1:14">
      <c r="A192">
        <v>16489</v>
      </c>
      <c r="B192" t="s">
        <v>38</v>
      </c>
      <c r="C192" t="s">
        <v>40</v>
      </c>
      <c r="D192" s="7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41</v>
      </c>
      <c r="C193" t="s">
        <v>40</v>
      </c>
      <c r="D193" s="7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aged</v>
      </c>
      <c r="N193" t="s">
        <v>17</v>
      </c>
    </row>
    <row r="194" spans="1:14">
      <c r="A194">
        <v>15682</v>
      </c>
      <c r="B194" t="s">
        <v>41</v>
      </c>
      <c r="C194" t="s">
        <v>39</v>
      </c>
      <c r="D194" s="7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42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7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42</v>
      </c>
      <c r="K195" t="s">
        <v>27</v>
      </c>
      <c r="L195">
        <v>41</v>
      </c>
      <c r="M195" t="str">
        <f t="shared" ref="M195:M258" si="3">IF(L195&gt;54,"Old",IF(L195&gt;=31,"Middle aged",IF(L195&lt;31,"Adolescent","invalid")))</f>
        <v>Middle aged</v>
      </c>
      <c r="N195" t="s">
        <v>20</v>
      </c>
    </row>
    <row r="196" spans="1:14">
      <c r="A196">
        <v>17843</v>
      </c>
      <c r="B196" t="s">
        <v>41</v>
      </c>
      <c r="C196" t="s">
        <v>39</v>
      </c>
      <c r="D196" s="7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aged</v>
      </c>
      <c r="N196" t="s">
        <v>20</v>
      </c>
    </row>
    <row r="197" spans="1:14">
      <c r="A197">
        <v>25559</v>
      </c>
      <c r="B197" t="s">
        <v>41</v>
      </c>
      <c r="C197" t="s">
        <v>40</v>
      </c>
      <c r="D197" s="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41</v>
      </c>
      <c r="C198" t="s">
        <v>39</v>
      </c>
      <c r="D198" s="7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aged</v>
      </c>
      <c r="N198" t="s">
        <v>20</v>
      </c>
    </row>
    <row r="199" spans="1:14">
      <c r="A199">
        <v>11147</v>
      </c>
      <c r="B199" t="s">
        <v>38</v>
      </c>
      <c r="C199" t="s">
        <v>40</v>
      </c>
      <c r="D199" s="7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41</v>
      </c>
      <c r="C200" t="s">
        <v>39</v>
      </c>
      <c r="D200" s="7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aged</v>
      </c>
      <c r="N200" t="s">
        <v>17</v>
      </c>
    </row>
    <row r="201" spans="1:14">
      <c r="A201">
        <v>11453</v>
      </c>
      <c r="B201" t="s">
        <v>41</v>
      </c>
      <c r="C201" t="s">
        <v>40</v>
      </c>
      <c r="D201" s="7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42</v>
      </c>
      <c r="K201" t="s">
        <v>27</v>
      </c>
      <c r="L201">
        <v>33</v>
      </c>
      <c r="M201" t="str">
        <f t="shared" si="3"/>
        <v>Middle aged</v>
      </c>
      <c r="N201" t="s">
        <v>17</v>
      </c>
    </row>
    <row r="202" spans="1:14">
      <c r="A202">
        <v>24584</v>
      </c>
      <c r="B202" t="s">
        <v>41</v>
      </c>
      <c r="C202" t="s">
        <v>40</v>
      </c>
      <c r="D202" s="7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aged</v>
      </c>
      <c r="N202" t="s">
        <v>20</v>
      </c>
    </row>
    <row r="203" spans="1:14">
      <c r="A203">
        <v>12585</v>
      </c>
      <c r="B203" t="s">
        <v>38</v>
      </c>
      <c r="C203" t="s">
        <v>40</v>
      </c>
      <c r="D203" s="7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41</v>
      </c>
      <c r="C204" t="s">
        <v>40</v>
      </c>
      <c r="D204" s="7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aged</v>
      </c>
      <c r="N204" t="s">
        <v>17</v>
      </c>
    </row>
    <row r="205" spans="1:14">
      <c r="A205">
        <v>29298</v>
      </c>
      <c r="B205" t="s">
        <v>41</v>
      </c>
      <c r="C205" t="s">
        <v>39</v>
      </c>
      <c r="D205" s="7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aged</v>
      </c>
      <c r="N205" t="s">
        <v>17</v>
      </c>
    </row>
    <row r="206" spans="1:14">
      <c r="A206">
        <v>24842</v>
      </c>
      <c r="B206" t="s">
        <v>41</v>
      </c>
      <c r="C206" t="s">
        <v>39</v>
      </c>
      <c r="D206" s="7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aged</v>
      </c>
      <c r="N206" t="s">
        <v>20</v>
      </c>
    </row>
    <row r="207" spans="1:14">
      <c r="A207">
        <v>15657</v>
      </c>
      <c r="B207" t="s">
        <v>38</v>
      </c>
      <c r="C207" t="s">
        <v>40</v>
      </c>
      <c r="D207" s="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aged</v>
      </c>
      <c r="N207" t="s">
        <v>17</v>
      </c>
    </row>
    <row r="208" spans="1:14">
      <c r="A208">
        <v>11415</v>
      </c>
      <c r="B208" t="s">
        <v>41</v>
      </c>
      <c r="C208" t="s">
        <v>40</v>
      </c>
      <c r="D208" s="7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42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41</v>
      </c>
      <c r="C209" t="s">
        <v>39</v>
      </c>
      <c r="D209" s="7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41</v>
      </c>
      <c r="C210" t="s">
        <v>39</v>
      </c>
      <c r="D210" s="7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aged</v>
      </c>
      <c r="N210" t="s">
        <v>17</v>
      </c>
    </row>
    <row r="211" spans="1:14">
      <c r="A211">
        <v>25649</v>
      </c>
      <c r="B211" t="s">
        <v>41</v>
      </c>
      <c r="C211" t="s">
        <v>39</v>
      </c>
      <c r="D211" s="7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aged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7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aged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7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aged</v>
      </c>
      <c r="N213" t="s">
        <v>17</v>
      </c>
    </row>
    <row r="214" spans="1:14">
      <c r="A214">
        <v>20946</v>
      </c>
      <c r="B214" t="s">
        <v>41</v>
      </c>
      <c r="C214" t="s">
        <v>39</v>
      </c>
      <c r="D214" s="7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41</v>
      </c>
      <c r="C215" t="s">
        <v>40</v>
      </c>
      <c r="D215" s="7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42</v>
      </c>
      <c r="K215" t="s">
        <v>27</v>
      </c>
      <c r="L215">
        <v>31</v>
      </c>
      <c r="M215" t="str">
        <f t="shared" si="3"/>
        <v>Middle aged</v>
      </c>
      <c r="N215" t="s">
        <v>17</v>
      </c>
    </row>
    <row r="216" spans="1:14">
      <c r="A216">
        <v>25553</v>
      </c>
      <c r="B216" t="s">
        <v>38</v>
      </c>
      <c r="C216" t="s">
        <v>40</v>
      </c>
      <c r="D216" s="7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41</v>
      </c>
      <c r="C217" t="s">
        <v>40</v>
      </c>
      <c r="D217" s="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aged</v>
      </c>
      <c r="N217" t="s">
        <v>17</v>
      </c>
    </row>
    <row r="218" spans="1:14">
      <c r="A218">
        <v>25026</v>
      </c>
      <c r="B218" t="s">
        <v>38</v>
      </c>
      <c r="C218" t="s">
        <v>40</v>
      </c>
      <c r="D218" s="7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aged</v>
      </c>
      <c r="N218" t="s">
        <v>20</v>
      </c>
    </row>
    <row r="219" spans="1:14">
      <c r="A219">
        <v>13673</v>
      </c>
      <c r="B219" t="s">
        <v>41</v>
      </c>
      <c r="C219" t="s">
        <v>39</v>
      </c>
      <c r="D219" s="7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41</v>
      </c>
      <c r="C220" t="s">
        <v>40</v>
      </c>
      <c r="D220" s="7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aged</v>
      </c>
      <c r="N220" t="s">
        <v>20</v>
      </c>
    </row>
    <row r="221" spans="1:14">
      <c r="A221">
        <v>22399</v>
      </c>
      <c r="B221" t="s">
        <v>41</v>
      </c>
      <c r="C221" t="s">
        <v>40</v>
      </c>
      <c r="D221" s="7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38</v>
      </c>
      <c r="C222" t="s">
        <v>40</v>
      </c>
      <c r="D222" s="7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aged</v>
      </c>
      <c r="N222" t="s">
        <v>17</v>
      </c>
    </row>
    <row r="223" spans="1:14">
      <c r="A223">
        <v>25313</v>
      </c>
      <c r="B223" t="s">
        <v>41</v>
      </c>
      <c r="C223" t="s">
        <v>40</v>
      </c>
      <c r="D223" s="7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aged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7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aged</v>
      </c>
      <c r="N224" t="s">
        <v>20</v>
      </c>
    </row>
    <row r="225" spans="1:14">
      <c r="A225">
        <v>18711</v>
      </c>
      <c r="B225" t="s">
        <v>41</v>
      </c>
      <c r="C225" t="s">
        <v>39</v>
      </c>
      <c r="D225" s="7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42</v>
      </c>
      <c r="K225" t="s">
        <v>27</v>
      </c>
      <c r="L225">
        <v>39</v>
      </c>
      <c r="M225" t="str">
        <f t="shared" si="3"/>
        <v>Middle aged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7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38</v>
      </c>
      <c r="C227" t="s">
        <v>40</v>
      </c>
      <c r="D227" s="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aged</v>
      </c>
      <c r="N227" t="s">
        <v>20</v>
      </c>
    </row>
    <row r="228" spans="1:14">
      <c r="A228">
        <v>12833</v>
      </c>
      <c r="B228" t="s">
        <v>41</v>
      </c>
      <c r="C228" t="s">
        <v>39</v>
      </c>
      <c r="D228" s="7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aged</v>
      </c>
      <c r="N228" t="s">
        <v>17</v>
      </c>
    </row>
    <row r="229" spans="1:14">
      <c r="A229">
        <v>26849</v>
      </c>
      <c r="B229" t="s">
        <v>38</v>
      </c>
      <c r="C229" t="s">
        <v>40</v>
      </c>
      <c r="D229" s="7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aged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7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aged</v>
      </c>
      <c r="N230" t="s">
        <v>20</v>
      </c>
    </row>
    <row r="231" spans="1:14">
      <c r="A231">
        <v>28915</v>
      </c>
      <c r="B231" t="s">
        <v>41</v>
      </c>
      <c r="C231" t="s">
        <v>40</v>
      </c>
      <c r="D231" s="7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42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38</v>
      </c>
      <c r="C232" t="s">
        <v>40</v>
      </c>
      <c r="D232" s="7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42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7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aged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7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aged</v>
      </c>
      <c r="N234" t="s">
        <v>20</v>
      </c>
    </row>
    <row r="235" spans="1:14">
      <c r="A235">
        <v>24174</v>
      </c>
      <c r="B235" t="s">
        <v>38</v>
      </c>
      <c r="C235" t="s">
        <v>40</v>
      </c>
      <c r="D235" s="7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41</v>
      </c>
      <c r="C236" t="s">
        <v>40</v>
      </c>
      <c r="D236" s="7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42</v>
      </c>
      <c r="K236" t="s">
        <v>27</v>
      </c>
      <c r="L236">
        <v>35</v>
      </c>
      <c r="M236" t="str">
        <f t="shared" si="3"/>
        <v>Middle aged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41</v>
      </c>
      <c r="C238" t="s">
        <v>39</v>
      </c>
      <c r="D238" s="7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aged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7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38</v>
      </c>
      <c r="C240" t="s">
        <v>40</v>
      </c>
      <c r="D240" s="7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aged</v>
      </c>
      <c r="N240" t="s">
        <v>20</v>
      </c>
    </row>
    <row r="241" spans="1:14">
      <c r="A241">
        <v>20060</v>
      </c>
      <c r="B241" t="s">
        <v>41</v>
      </c>
      <c r="C241" t="s">
        <v>39</v>
      </c>
      <c r="D241" s="7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aged</v>
      </c>
      <c r="N241" t="s">
        <v>17</v>
      </c>
    </row>
    <row r="242" spans="1:14">
      <c r="A242">
        <v>17702</v>
      </c>
      <c r="B242" t="s">
        <v>38</v>
      </c>
      <c r="C242" t="s">
        <v>40</v>
      </c>
      <c r="D242" s="7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aged</v>
      </c>
      <c r="N242" t="s">
        <v>20</v>
      </c>
    </row>
    <row r="243" spans="1:14">
      <c r="A243">
        <v>12503</v>
      </c>
      <c r="B243" t="s">
        <v>41</v>
      </c>
      <c r="C243" t="s">
        <v>39</v>
      </c>
      <c r="D243" s="7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41</v>
      </c>
      <c r="C244" t="s">
        <v>40</v>
      </c>
      <c r="D244" s="7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aged</v>
      </c>
      <c r="N244" t="s">
        <v>17</v>
      </c>
    </row>
    <row r="245" spans="1:14">
      <c r="A245">
        <v>22527</v>
      </c>
      <c r="B245" t="s">
        <v>41</v>
      </c>
      <c r="C245" t="s">
        <v>39</v>
      </c>
      <c r="D245" s="7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7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42</v>
      </c>
      <c r="K246" t="s">
        <v>19</v>
      </c>
      <c r="L246">
        <v>52</v>
      </c>
      <c r="M246" t="str">
        <f t="shared" si="3"/>
        <v>Middle aged</v>
      </c>
      <c r="N246" t="s">
        <v>17</v>
      </c>
    </row>
    <row r="247" spans="1:14">
      <c r="A247">
        <v>18494</v>
      </c>
      <c r="B247" t="s">
        <v>38</v>
      </c>
      <c r="C247" t="s">
        <v>40</v>
      </c>
      <c r="D247" s="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aged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7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aged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7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42</v>
      </c>
      <c r="K249" t="s">
        <v>27</v>
      </c>
      <c r="L249">
        <v>34</v>
      </c>
      <c r="M249" t="str">
        <f t="shared" si="3"/>
        <v>Middle aged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7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41</v>
      </c>
      <c r="C251" t="s">
        <v>40</v>
      </c>
      <c r="D251" s="7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aged</v>
      </c>
      <c r="N251" t="s">
        <v>17</v>
      </c>
    </row>
    <row r="252" spans="1:14">
      <c r="A252">
        <v>22931</v>
      </c>
      <c r="B252" t="s">
        <v>38</v>
      </c>
      <c r="C252" t="s">
        <v>40</v>
      </c>
      <c r="D252" s="7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38</v>
      </c>
      <c r="C253" t="s">
        <v>40</v>
      </c>
      <c r="D253" s="7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41</v>
      </c>
      <c r="C254" t="s">
        <v>40</v>
      </c>
      <c r="D254" s="7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aged</v>
      </c>
      <c r="N254" t="s">
        <v>20</v>
      </c>
    </row>
    <row r="255" spans="1:14">
      <c r="A255">
        <v>20598</v>
      </c>
      <c r="B255" t="s">
        <v>38</v>
      </c>
      <c r="C255" t="s">
        <v>40</v>
      </c>
      <c r="D255" s="7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42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41</v>
      </c>
      <c r="C256" t="s">
        <v>40</v>
      </c>
      <c r="D256" s="7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41</v>
      </c>
      <c r="C257" t="s">
        <v>39</v>
      </c>
      <c r="D257" s="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aged</v>
      </c>
      <c r="N257" t="s">
        <v>17</v>
      </c>
    </row>
    <row r="258" spans="1:14">
      <c r="A258">
        <v>21738</v>
      </c>
      <c r="B258" t="s">
        <v>38</v>
      </c>
      <c r="C258" t="s">
        <v>40</v>
      </c>
      <c r="D258" s="7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aged</v>
      </c>
      <c r="N258" t="s">
        <v>20</v>
      </c>
    </row>
    <row r="259" spans="1:14">
      <c r="A259">
        <v>14164</v>
      </c>
      <c r="B259" t="s">
        <v>41</v>
      </c>
      <c r="C259" t="s">
        <v>39</v>
      </c>
      <c r="D259" s="7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aged",IF(L259&lt;31,"Adolescent","invalid")))</f>
        <v>Middle aged</v>
      </c>
      <c r="N259" t="s">
        <v>17</v>
      </c>
    </row>
    <row r="260" spans="1:14">
      <c r="A260">
        <v>14193</v>
      </c>
      <c r="B260" t="s">
        <v>41</v>
      </c>
      <c r="C260" t="s">
        <v>39</v>
      </c>
      <c r="D260" s="7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42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38</v>
      </c>
      <c r="C261" t="s">
        <v>40</v>
      </c>
      <c r="D261" s="7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aged</v>
      </c>
      <c r="N261" t="s">
        <v>17</v>
      </c>
    </row>
    <row r="262" spans="1:14">
      <c r="A262">
        <v>22672</v>
      </c>
      <c r="B262" t="s">
        <v>41</v>
      </c>
      <c r="C262" t="s">
        <v>39</v>
      </c>
      <c r="D262" s="7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aged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7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aged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7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aged</v>
      </c>
      <c r="N264" t="s">
        <v>20</v>
      </c>
    </row>
    <row r="265" spans="1:14">
      <c r="A265">
        <v>23419</v>
      </c>
      <c r="B265" t="s">
        <v>41</v>
      </c>
      <c r="C265" t="s">
        <v>39</v>
      </c>
      <c r="D265" s="7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42</v>
      </c>
      <c r="K265" t="s">
        <v>27</v>
      </c>
      <c r="L265">
        <v>39</v>
      </c>
      <c r="M265" t="str">
        <f t="shared" si="4"/>
        <v>Middle aged</v>
      </c>
      <c r="N265" t="s">
        <v>20</v>
      </c>
    </row>
    <row r="266" spans="1:14">
      <c r="A266">
        <v>17964</v>
      </c>
      <c r="B266" t="s">
        <v>38</v>
      </c>
      <c r="C266" t="s">
        <v>40</v>
      </c>
      <c r="D266" s="7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aged</v>
      </c>
      <c r="N266" t="s">
        <v>17</v>
      </c>
    </row>
    <row r="267" spans="1:14">
      <c r="A267">
        <v>20919</v>
      </c>
      <c r="B267" t="s">
        <v>41</v>
      </c>
      <c r="C267" t="s">
        <v>39</v>
      </c>
      <c r="D267" s="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aged</v>
      </c>
      <c r="N267" t="s">
        <v>20</v>
      </c>
    </row>
    <row r="268" spans="1:14">
      <c r="A268">
        <v>20927</v>
      </c>
      <c r="B268" t="s">
        <v>41</v>
      </c>
      <c r="C268" t="s">
        <v>39</v>
      </c>
      <c r="D268" s="7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41</v>
      </c>
      <c r="C269" t="s">
        <v>40</v>
      </c>
      <c r="D269" s="7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aged</v>
      </c>
      <c r="N269" t="s">
        <v>17</v>
      </c>
    </row>
    <row r="270" spans="1:14">
      <c r="A270">
        <v>19626</v>
      </c>
      <c r="B270" t="s">
        <v>38</v>
      </c>
      <c r="C270" t="s">
        <v>40</v>
      </c>
      <c r="D270" s="7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aged</v>
      </c>
      <c r="N270" t="s">
        <v>20</v>
      </c>
    </row>
    <row r="271" spans="1:14">
      <c r="A271">
        <v>21039</v>
      </c>
      <c r="B271" t="s">
        <v>41</v>
      </c>
      <c r="C271" t="s">
        <v>39</v>
      </c>
      <c r="D271" s="7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aged</v>
      </c>
      <c r="N271" t="s">
        <v>17</v>
      </c>
    </row>
    <row r="272" spans="1:14">
      <c r="A272">
        <v>12231</v>
      </c>
      <c r="B272" t="s">
        <v>41</v>
      </c>
      <c r="C272" t="s">
        <v>39</v>
      </c>
      <c r="D272" s="7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aged</v>
      </c>
      <c r="N272" t="s">
        <v>17</v>
      </c>
    </row>
    <row r="273" spans="1:14">
      <c r="A273">
        <v>25665</v>
      </c>
      <c r="B273" t="s">
        <v>41</v>
      </c>
      <c r="C273" t="s">
        <v>39</v>
      </c>
      <c r="D273" s="7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38</v>
      </c>
      <c r="C274" t="s">
        <v>40</v>
      </c>
      <c r="D274" s="7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aged</v>
      </c>
      <c r="N274" t="s">
        <v>17</v>
      </c>
    </row>
    <row r="275" spans="1:14">
      <c r="A275">
        <v>26879</v>
      </c>
      <c r="B275" t="s">
        <v>41</v>
      </c>
      <c r="C275" t="s">
        <v>39</v>
      </c>
      <c r="D275" s="7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7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aged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aged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7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aged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7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aged</v>
      </c>
      <c r="N279" t="s">
        <v>17</v>
      </c>
    </row>
    <row r="280" spans="1:14">
      <c r="A280">
        <v>20625</v>
      </c>
      <c r="B280" t="s">
        <v>38</v>
      </c>
      <c r="C280" t="s">
        <v>40</v>
      </c>
      <c r="D280" s="7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42</v>
      </c>
      <c r="K280" t="s">
        <v>27</v>
      </c>
      <c r="L280">
        <v>35</v>
      </c>
      <c r="M280" t="str">
        <f t="shared" si="4"/>
        <v>Middle aged</v>
      </c>
      <c r="N280" t="s">
        <v>17</v>
      </c>
    </row>
    <row r="281" spans="1:14">
      <c r="A281">
        <v>16390</v>
      </c>
      <c r="B281" t="s">
        <v>41</v>
      </c>
      <c r="C281" t="s">
        <v>40</v>
      </c>
      <c r="D281" s="7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aged</v>
      </c>
      <c r="N281" t="s">
        <v>17</v>
      </c>
    </row>
    <row r="282" spans="1:14">
      <c r="A282">
        <v>14804</v>
      </c>
      <c r="B282" t="s">
        <v>41</v>
      </c>
      <c r="C282" t="s">
        <v>39</v>
      </c>
      <c r="D282" s="7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aged</v>
      </c>
      <c r="N282" t="s">
        <v>20</v>
      </c>
    </row>
    <row r="283" spans="1:14">
      <c r="A283">
        <v>12629</v>
      </c>
      <c r="B283" t="s">
        <v>41</v>
      </c>
      <c r="C283" t="s">
        <v>40</v>
      </c>
      <c r="D283" s="7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aged</v>
      </c>
      <c r="N283" t="s">
        <v>20</v>
      </c>
    </row>
    <row r="284" spans="1:14">
      <c r="A284">
        <v>14696</v>
      </c>
      <c r="B284" t="s">
        <v>41</v>
      </c>
      <c r="C284" t="s">
        <v>40</v>
      </c>
      <c r="D284" s="7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aged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7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aged</v>
      </c>
      <c r="N285" t="s">
        <v>20</v>
      </c>
    </row>
    <row r="286" spans="1:14">
      <c r="A286">
        <v>14544</v>
      </c>
      <c r="B286" t="s">
        <v>41</v>
      </c>
      <c r="C286" t="s">
        <v>40</v>
      </c>
      <c r="D286" s="7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aged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aged</v>
      </c>
      <c r="N287" t="s">
        <v>20</v>
      </c>
    </row>
    <row r="288" spans="1:14">
      <c r="A288">
        <v>29120</v>
      </c>
      <c r="B288" t="s">
        <v>41</v>
      </c>
      <c r="C288" t="s">
        <v>39</v>
      </c>
      <c r="D288" s="7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aged</v>
      </c>
      <c r="N288" t="s">
        <v>20</v>
      </c>
    </row>
    <row r="289" spans="1:14">
      <c r="A289">
        <v>24187</v>
      </c>
      <c r="B289" t="s">
        <v>41</v>
      </c>
      <c r="C289" t="s">
        <v>39</v>
      </c>
      <c r="D289" s="7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aged</v>
      </c>
      <c r="N289" t="s">
        <v>17</v>
      </c>
    </row>
    <row r="290" spans="1:14">
      <c r="A290">
        <v>15758</v>
      </c>
      <c r="B290" t="s">
        <v>38</v>
      </c>
      <c r="C290" t="s">
        <v>40</v>
      </c>
      <c r="D290" s="7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aged</v>
      </c>
      <c r="N290" t="s">
        <v>20</v>
      </c>
    </row>
    <row r="291" spans="1:14">
      <c r="A291">
        <v>29094</v>
      </c>
      <c r="B291" t="s">
        <v>38</v>
      </c>
      <c r="C291" t="s">
        <v>40</v>
      </c>
      <c r="D291" s="7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aged</v>
      </c>
      <c r="N291" t="s">
        <v>17</v>
      </c>
    </row>
    <row r="292" spans="1:14">
      <c r="A292">
        <v>28319</v>
      </c>
      <c r="B292" t="s">
        <v>41</v>
      </c>
      <c r="C292" t="s">
        <v>39</v>
      </c>
      <c r="D292" s="7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aged</v>
      </c>
      <c r="N292" t="s">
        <v>17</v>
      </c>
    </row>
    <row r="293" spans="1:14">
      <c r="A293">
        <v>16406</v>
      </c>
      <c r="B293" t="s">
        <v>38</v>
      </c>
      <c r="C293" t="s">
        <v>40</v>
      </c>
      <c r="D293" s="7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aged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7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aged</v>
      </c>
      <c r="N294" t="s">
        <v>17</v>
      </c>
    </row>
    <row r="295" spans="1:14">
      <c r="A295">
        <v>11378</v>
      </c>
      <c r="B295" t="s">
        <v>41</v>
      </c>
      <c r="C295" t="s">
        <v>39</v>
      </c>
      <c r="D295" s="7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aged</v>
      </c>
      <c r="N295" t="s">
        <v>17</v>
      </c>
    </row>
    <row r="296" spans="1:14">
      <c r="A296">
        <v>20851</v>
      </c>
      <c r="B296" t="s">
        <v>41</v>
      </c>
      <c r="C296" t="s">
        <v>40</v>
      </c>
      <c r="D296" s="7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aged</v>
      </c>
      <c r="N296" t="s">
        <v>17</v>
      </c>
    </row>
    <row r="297" spans="1:14">
      <c r="A297">
        <v>21557</v>
      </c>
      <c r="B297" t="s">
        <v>41</v>
      </c>
      <c r="C297" t="s">
        <v>39</v>
      </c>
      <c r="D297" s="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42</v>
      </c>
      <c r="K297" t="s">
        <v>27</v>
      </c>
      <c r="L297">
        <v>32</v>
      </c>
      <c r="M297" t="str">
        <f t="shared" si="4"/>
        <v>Middle aged</v>
      </c>
      <c r="N297" t="s">
        <v>17</v>
      </c>
    </row>
    <row r="298" spans="1:14">
      <c r="A298">
        <v>26663</v>
      </c>
      <c r="B298" t="s">
        <v>41</v>
      </c>
      <c r="C298" t="s">
        <v>39</v>
      </c>
      <c r="D298" s="7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aged</v>
      </c>
      <c r="N298" t="s">
        <v>17</v>
      </c>
    </row>
    <row r="299" spans="1:14">
      <c r="A299">
        <v>11896</v>
      </c>
      <c r="B299" t="s">
        <v>38</v>
      </c>
      <c r="C299" t="s">
        <v>40</v>
      </c>
      <c r="D299" s="7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aged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7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aged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7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41</v>
      </c>
      <c r="C302" t="s">
        <v>39</v>
      </c>
      <c r="D302" s="7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41</v>
      </c>
      <c r="C303" t="s">
        <v>39</v>
      </c>
      <c r="D303" s="7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41</v>
      </c>
      <c r="C304" t="s">
        <v>40</v>
      </c>
      <c r="D304" s="7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7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aged</v>
      </c>
      <c r="N305" t="s">
        <v>20</v>
      </c>
    </row>
    <row r="306" spans="1:14">
      <c r="A306">
        <v>28207</v>
      </c>
      <c r="B306" t="s">
        <v>38</v>
      </c>
      <c r="C306" t="s">
        <v>40</v>
      </c>
      <c r="D306" s="7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aged</v>
      </c>
      <c r="N306" t="s">
        <v>17</v>
      </c>
    </row>
    <row r="307" spans="1:14">
      <c r="A307">
        <v>25923</v>
      </c>
      <c r="B307" t="s">
        <v>41</v>
      </c>
      <c r="C307" t="s">
        <v>40</v>
      </c>
      <c r="D307" s="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38</v>
      </c>
      <c r="C308" t="s">
        <v>40</v>
      </c>
      <c r="D308" s="7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aged</v>
      </c>
      <c r="N308" t="s">
        <v>17</v>
      </c>
    </row>
    <row r="309" spans="1:14">
      <c r="A309">
        <v>20974</v>
      </c>
      <c r="B309" t="s">
        <v>38</v>
      </c>
      <c r="C309" t="s">
        <v>40</v>
      </c>
      <c r="D309" s="7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38</v>
      </c>
      <c r="C310" t="s">
        <v>40</v>
      </c>
      <c r="D310" s="7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aged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7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aged</v>
      </c>
      <c r="N311" t="s">
        <v>17</v>
      </c>
    </row>
    <row r="312" spans="1:14">
      <c r="A312">
        <v>17522</v>
      </c>
      <c r="B312" t="s">
        <v>38</v>
      </c>
      <c r="C312" t="s">
        <v>40</v>
      </c>
      <c r="D312" s="7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aged</v>
      </c>
      <c r="N312" t="s">
        <v>20</v>
      </c>
    </row>
    <row r="313" spans="1:14">
      <c r="A313">
        <v>21207</v>
      </c>
      <c r="B313" t="s">
        <v>38</v>
      </c>
      <c r="C313" t="s">
        <v>40</v>
      </c>
      <c r="D313" s="7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aged</v>
      </c>
      <c r="N313" t="s">
        <v>20</v>
      </c>
    </row>
    <row r="314" spans="1:14">
      <c r="A314">
        <v>28102</v>
      </c>
      <c r="B314" t="s">
        <v>38</v>
      </c>
      <c r="C314" t="s">
        <v>40</v>
      </c>
      <c r="D314" s="7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41</v>
      </c>
      <c r="C315" t="s">
        <v>40</v>
      </c>
      <c r="D315" s="7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aged</v>
      </c>
      <c r="N315" t="s">
        <v>17</v>
      </c>
    </row>
    <row r="316" spans="1:14">
      <c r="A316">
        <v>18740</v>
      </c>
      <c r="B316" t="s">
        <v>38</v>
      </c>
      <c r="C316" t="s">
        <v>40</v>
      </c>
      <c r="D316" s="7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aged</v>
      </c>
      <c r="N316" t="s">
        <v>17</v>
      </c>
    </row>
    <row r="317" spans="1:14">
      <c r="A317">
        <v>21213</v>
      </c>
      <c r="B317" t="s">
        <v>41</v>
      </c>
      <c r="C317" t="s">
        <v>40</v>
      </c>
      <c r="D317" s="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aged</v>
      </c>
      <c r="N317" t="s">
        <v>20</v>
      </c>
    </row>
    <row r="318" spans="1:14">
      <c r="A318">
        <v>17352</v>
      </c>
      <c r="B318" t="s">
        <v>38</v>
      </c>
      <c r="C318" t="s">
        <v>40</v>
      </c>
      <c r="D318" s="7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38</v>
      </c>
      <c r="C319" t="s">
        <v>40</v>
      </c>
      <c r="D319" s="7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aged</v>
      </c>
      <c r="N319" t="s">
        <v>17</v>
      </c>
    </row>
    <row r="320" spans="1:14">
      <c r="A320">
        <v>19066</v>
      </c>
      <c r="B320" t="s">
        <v>38</v>
      </c>
      <c r="C320" t="s">
        <v>40</v>
      </c>
      <c r="D320" s="7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42</v>
      </c>
      <c r="K320" t="s">
        <v>19</v>
      </c>
      <c r="L320">
        <v>54</v>
      </c>
      <c r="M320" t="str">
        <f t="shared" si="4"/>
        <v>Middle aged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7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aged</v>
      </c>
      <c r="N321" t="s">
        <v>20</v>
      </c>
    </row>
    <row r="322" spans="1:14">
      <c r="A322">
        <v>20228</v>
      </c>
      <c r="B322" t="s">
        <v>38</v>
      </c>
      <c r="C322" t="s">
        <v>40</v>
      </c>
      <c r="D322" s="7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aged</v>
      </c>
      <c r="N322" t="s">
        <v>17</v>
      </c>
    </row>
    <row r="323" spans="1:14">
      <c r="A323">
        <v>16675</v>
      </c>
      <c r="B323" t="s">
        <v>41</v>
      </c>
      <c r="C323" t="s">
        <v>39</v>
      </c>
      <c r="D323" s="7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aged",IF(L323&lt;31,"Adolescent","invalid")))</f>
        <v>Middle aged</v>
      </c>
      <c r="N323" t="s">
        <v>17</v>
      </c>
    </row>
    <row r="324" spans="1:14">
      <c r="A324">
        <v>16410</v>
      </c>
      <c r="B324" t="s">
        <v>41</v>
      </c>
      <c r="C324" t="s">
        <v>39</v>
      </c>
      <c r="D324" s="7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aged</v>
      </c>
      <c r="N324" t="s">
        <v>17</v>
      </c>
    </row>
    <row r="325" spans="1:14">
      <c r="A325">
        <v>27760</v>
      </c>
      <c r="B325" t="s">
        <v>41</v>
      </c>
      <c r="C325" t="s">
        <v>39</v>
      </c>
      <c r="D325" s="7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aged</v>
      </c>
      <c r="N325" t="s">
        <v>17</v>
      </c>
    </row>
    <row r="326" spans="1:14">
      <c r="A326">
        <v>22930</v>
      </c>
      <c r="B326" t="s">
        <v>38</v>
      </c>
      <c r="C326" t="s">
        <v>40</v>
      </c>
      <c r="D326" s="7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aged</v>
      </c>
      <c r="N326" t="s">
        <v>17</v>
      </c>
    </row>
    <row r="327" spans="1:14">
      <c r="A327">
        <v>23780</v>
      </c>
      <c r="B327" t="s">
        <v>41</v>
      </c>
      <c r="C327" t="s">
        <v>40</v>
      </c>
      <c r="D327" s="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aged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7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38</v>
      </c>
      <c r="C329" t="s">
        <v>40</v>
      </c>
      <c r="D329" s="7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aged</v>
      </c>
      <c r="N329" t="s">
        <v>20</v>
      </c>
    </row>
    <row r="330" spans="1:14">
      <c r="A330">
        <v>14865</v>
      </c>
      <c r="B330" t="s">
        <v>41</v>
      </c>
      <c r="C330" t="s">
        <v>40</v>
      </c>
      <c r="D330" s="7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aged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7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42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41</v>
      </c>
      <c r="C332" t="s">
        <v>39</v>
      </c>
      <c r="D332" s="7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42</v>
      </c>
      <c r="K332" t="s">
        <v>27</v>
      </c>
      <c r="L332">
        <v>32</v>
      </c>
      <c r="M332" t="str">
        <f t="shared" si="5"/>
        <v>Middle aged</v>
      </c>
      <c r="N332" t="s">
        <v>20</v>
      </c>
    </row>
    <row r="333" spans="1:14">
      <c r="A333">
        <v>19508</v>
      </c>
      <c r="B333" t="s">
        <v>38</v>
      </c>
      <c r="C333" t="s">
        <v>40</v>
      </c>
      <c r="D333" s="7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41</v>
      </c>
      <c r="C334" t="s">
        <v>39</v>
      </c>
      <c r="D334" s="7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aged</v>
      </c>
      <c r="N334" t="s">
        <v>17</v>
      </c>
    </row>
    <row r="335" spans="1:14">
      <c r="A335">
        <v>18160</v>
      </c>
      <c r="B335" t="s">
        <v>38</v>
      </c>
      <c r="C335" t="s">
        <v>40</v>
      </c>
      <c r="D335" s="7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aged</v>
      </c>
      <c r="N335" t="s">
        <v>17</v>
      </c>
    </row>
    <row r="336" spans="1:14">
      <c r="A336">
        <v>25241</v>
      </c>
      <c r="B336" t="s">
        <v>38</v>
      </c>
      <c r="C336" t="s">
        <v>40</v>
      </c>
      <c r="D336" s="7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aged</v>
      </c>
      <c r="N336" t="s">
        <v>20</v>
      </c>
    </row>
    <row r="337" spans="1:14">
      <c r="A337">
        <v>24369</v>
      </c>
      <c r="B337" t="s">
        <v>38</v>
      </c>
      <c r="C337" t="s">
        <v>40</v>
      </c>
      <c r="D337" s="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aged</v>
      </c>
      <c r="N337" t="s">
        <v>20</v>
      </c>
    </row>
    <row r="338" spans="1:14">
      <c r="A338">
        <v>27165</v>
      </c>
      <c r="B338" t="s">
        <v>41</v>
      </c>
      <c r="C338" t="s">
        <v>40</v>
      </c>
      <c r="D338" s="7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aged</v>
      </c>
      <c r="N338" t="s">
        <v>20</v>
      </c>
    </row>
    <row r="339" spans="1:14">
      <c r="A339">
        <v>29424</v>
      </c>
      <c r="B339" t="s">
        <v>38</v>
      </c>
      <c r="C339" t="s">
        <v>40</v>
      </c>
      <c r="D339" s="7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aged</v>
      </c>
      <c r="N339" t="s">
        <v>20</v>
      </c>
    </row>
    <row r="340" spans="1:14">
      <c r="A340">
        <v>15926</v>
      </c>
      <c r="B340" t="s">
        <v>41</v>
      </c>
      <c r="C340" t="s">
        <v>39</v>
      </c>
      <c r="D340" s="7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aged</v>
      </c>
      <c r="N340" t="s">
        <v>17</v>
      </c>
    </row>
    <row r="341" spans="1:14">
      <c r="A341">
        <v>14554</v>
      </c>
      <c r="B341" t="s">
        <v>38</v>
      </c>
      <c r="C341" t="s">
        <v>40</v>
      </c>
      <c r="D341" s="7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41</v>
      </c>
      <c r="C342" t="s">
        <v>40</v>
      </c>
      <c r="D342" s="7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41</v>
      </c>
      <c r="C343" t="s">
        <v>39</v>
      </c>
      <c r="D343" s="7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aged</v>
      </c>
      <c r="N343" t="s">
        <v>17</v>
      </c>
    </row>
    <row r="344" spans="1:14">
      <c r="A344">
        <v>19183</v>
      </c>
      <c r="B344" t="s">
        <v>41</v>
      </c>
      <c r="C344" t="s">
        <v>40</v>
      </c>
      <c r="D344" s="7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aged</v>
      </c>
      <c r="N344" t="s">
        <v>20</v>
      </c>
    </row>
    <row r="345" spans="1:14">
      <c r="A345">
        <v>13683</v>
      </c>
      <c r="B345" t="s">
        <v>41</v>
      </c>
      <c r="C345" t="s">
        <v>39</v>
      </c>
      <c r="D345" s="7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aged</v>
      </c>
      <c r="N345" t="s">
        <v>20</v>
      </c>
    </row>
    <row r="346" spans="1:14">
      <c r="A346">
        <v>17848</v>
      </c>
      <c r="B346" t="s">
        <v>41</v>
      </c>
      <c r="C346" t="s">
        <v>40</v>
      </c>
      <c r="D346" s="7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aged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aged</v>
      </c>
      <c r="N347" t="s">
        <v>17</v>
      </c>
    </row>
    <row r="348" spans="1:14">
      <c r="A348">
        <v>25651</v>
      </c>
      <c r="B348" t="s">
        <v>38</v>
      </c>
      <c r="C348" t="s">
        <v>40</v>
      </c>
      <c r="D348" s="7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aged</v>
      </c>
      <c r="N348" t="s">
        <v>17</v>
      </c>
    </row>
    <row r="349" spans="1:14">
      <c r="A349">
        <v>22936</v>
      </c>
      <c r="B349" t="s">
        <v>41</v>
      </c>
      <c r="C349" t="s">
        <v>39</v>
      </c>
      <c r="D349" s="7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aged</v>
      </c>
      <c r="N349" t="s">
        <v>17</v>
      </c>
    </row>
    <row r="350" spans="1:14">
      <c r="A350">
        <v>23915</v>
      </c>
      <c r="B350" t="s">
        <v>38</v>
      </c>
      <c r="C350" t="s">
        <v>40</v>
      </c>
      <c r="D350" s="7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aged</v>
      </c>
      <c r="N350" t="s">
        <v>20</v>
      </c>
    </row>
    <row r="351" spans="1:14">
      <c r="A351">
        <v>24121</v>
      </c>
      <c r="B351" t="s">
        <v>41</v>
      </c>
      <c r="C351" t="s">
        <v>39</v>
      </c>
      <c r="D351" s="7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41</v>
      </c>
      <c r="C352" t="s">
        <v>40</v>
      </c>
      <c r="D352" s="7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41</v>
      </c>
      <c r="C353" t="s">
        <v>40</v>
      </c>
      <c r="D353" s="7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aged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7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aged</v>
      </c>
      <c r="N354" t="s">
        <v>20</v>
      </c>
    </row>
    <row r="355" spans="1:14">
      <c r="A355">
        <v>26354</v>
      </c>
      <c r="B355" t="s">
        <v>41</v>
      </c>
      <c r="C355" t="s">
        <v>40</v>
      </c>
      <c r="D355" s="7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aged</v>
      </c>
      <c r="N355" t="s">
        <v>17</v>
      </c>
    </row>
    <row r="356" spans="1:14">
      <c r="A356">
        <v>14785</v>
      </c>
      <c r="B356" t="s">
        <v>41</v>
      </c>
      <c r="C356" t="s">
        <v>40</v>
      </c>
      <c r="D356" s="7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aged</v>
      </c>
      <c r="N356" t="s">
        <v>20</v>
      </c>
    </row>
    <row r="357" spans="1:14">
      <c r="A357">
        <v>17238</v>
      </c>
      <c r="B357" t="s">
        <v>41</v>
      </c>
      <c r="C357" t="s">
        <v>40</v>
      </c>
      <c r="D357" s="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42</v>
      </c>
      <c r="K357" t="s">
        <v>27</v>
      </c>
      <c r="L357">
        <v>32</v>
      </c>
      <c r="M357" t="str">
        <f t="shared" si="5"/>
        <v>Middle aged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7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aged</v>
      </c>
      <c r="N358" t="s">
        <v>17</v>
      </c>
    </row>
    <row r="359" spans="1:14">
      <c r="A359">
        <v>22538</v>
      </c>
      <c r="B359" t="s">
        <v>41</v>
      </c>
      <c r="C359" t="s">
        <v>39</v>
      </c>
      <c r="D359" s="7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aged</v>
      </c>
      <c r="N359" t="s">
        <v>20</v>
      </c>
    </row>
    <row r="360" spans="1:14">
      <c r="A360">
        <v>12332</v>
      </c>
      <c r="B360" t="s">
        <v>38</v>
      </c>
      <c r="C360" t="s">
        <v>40</v>
      </c>
      <c r="D360" s="7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38</v>
      </c>
      <c r="C361" t="s">
        <v>40</v>
      </c>
      <c r="D361" s="7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42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41</v>
      </c>
      <c r="C362" t="s">
        <v>40</v>
      </c>
      <c r="D362" s="7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aged</v>
      </c>
      <c r="N362" t="s">
        <v>17</v>
      </c>
    </row>
    <row r="363" spans="1:14">
      <c r="A363">
        <v>22518</v>
      </c>
      <c r="B363" t="s">
        <v>41</v>
      </c>
      <c r="C363" t="s">
        <v>39</v>
      </c>
      <c r="D363" s="7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38</v>
      </c>
      <c r="C364" t="s">
        <v>40</v>
      </c>
      <c r="D364" s="7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aged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7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41</v>
      </c>
      <c r="C366" t="s">
        <v>39</v>
      </c>
      <c r="D366" s="7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aged</v>
      </c>
      <c r="N366" t="s">
        <v>17</v>
      </c>
    </row>
    <row r="367" spans="1:14">
      <c r="A367">
        <v>22636</v>
      </c>
      <c r="B367" t="s">
        <v>41</v>
      </c>
      <c r="C367" t="s">
        <v>39</v>
      </c>
      <c r="D367" s="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aged</v>
      </c>
      <c r="N367" t="s">
        <v>17</v>
      </c>
    </row>
    <row r="368" spans="1:14">
      <c r="A368">
        <v>17310</v>
      </c>
      <c r="B368" t="s">
        <v>38</v>
      </c>
      <c r="C368" t="s">
        <v>40</v>
      </c>
      <c r="D368" s="7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aged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7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aged</v>
      </c>
      <c r="N369" t="s">
        <v>17</v>
      </c>
    </row>
    <row r="370" spans="1:14">
      <c r="A370">
        <v>25918</v>
      </c>
      <c r="B370" t="s">
        <v>41</v>
      </c>
      <c r="C370" t="s">
        <v>39</v>
      </c>
      <c r="D370" s="7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41</v>
      </c>
      <c r="C371" t="s">
        <v>39</v>
      </c>
      <c r="D371" s="7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aged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7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42</v>
      </c>
      <c r="K372" t="s">
        <v>27</v>
      </c>
      <c r="L372">
        <v>46</v>
      </c>
      <c r="M372" t="str">
        <f t="shared" si="5"/>
        <v>Middle aged</v>
      </c>
      <c r="N372" t="s">
        <v>20</v>
      </c>
    </row>
    <row r="373" spans="1:14">
      <c r="A373">
        <v>22918</v>
      </c>
      <c r="B373" t="s">
        <v>41</v>
      </c>
      <c r="C373" t="s">
        <v>40</v>
      </c>
      <c r="D373" s="7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aged</v>
      </c>
      <c r="N373" t="s">
        <v>20</v>
      </c>
    </row>
    <row r="374" spans="1:14">
      <c r="A374">
        <v>12510</v>
      </c>
      <c r="B374" t="s">
        <v>38</v>
      </c>
      <c r="C374" t="s">
        <v>40</v>
      </c>
      <c r="D374" s="7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aged</v>
      </c>
      <c r="N374" t="s">
        <v>17</v>
      </c>
    </row>
    <row r="375" spans="1:14">
      <c r="A375">
        <v>25512</v>
      </c>
      <c r="B375" t="s">
        <v>41</v>
      </c>
      <c r="C375" t="s">
        <v>40</v>
      </c>
      <c r="D375" s="7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41</v>
      </c>
      <c r="C376" t="s">
        <v>39</v>
      </c>
      <c r="D376" s="7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aged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38</v>
      </c>
      <c r="C378" t="s">
        <v>40</v>
      </c>
      <c r="D378" s="7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38</v>
      </c>
      <c r="C379" t="s">
        <v>40</v>
      </c>
      <c r="D379" s="7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aged</v>
      </c>
      <c r="N379" t="s">
        <v>17</v>
      </c>
    </row>
    <row r="380" spans="1:14">
      <c r="A380">
        <v>20417</v>
      </c>
      <c r="B380" t="s">
        <v>38</v>
      </c>
      <c r="C380" t="s">
        <v>40</v>
      </c>
      <c r="D380" s="7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38</v>
      </c>
      <c r="C381" t="s">
        <v>40</v>
      </c>
      <c r="D381" s="7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aged</v>
      </c>
      <c r="N381" t="s">
        <v>20</v>
      </c>
    </row>
    <row r="382" spans="1:14">
      <c r="A382">
        <v>13620</v>
      </c>
      <c r="B382" t="s">
        <v>41</v>
      </c>
      <c r="C382" t="s">
        <v>40</v>
      </c>
      <c r="D382" s="7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42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7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38</v>
      </c>
      <c r="C384" t="s">
        <v>40</v>
      </c>
      <c r="D384" s="7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42</v>
      </c>
      <c r="K384" t="s">
        <v>19</v>
      </c>
      <c r="L384">
        <v>53</v>
      </c>
      <c r="M384" t="str">
        <f t="shared" si="5"/>
        <v>Middle aged</v>
      </c>
      <c r="N384" t="s">
        <v>20</v>
      </c>
    </row>
    <row r="385" spans="1:14">
      <c r="A385">
        <v>17978</v>
      </c>
      <c r="B385" t="s">
        <v>38</v>
      </c>
      <c r="C385" t="s">
        <v>40</v>
      </c>
      <c r="D385" s="7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aged</v>
      </c>
      <c r="N385" t="s">
        <v>17</v>
      </c>
    </row>
    <row r="386" spans="1:14">
      <c r="A386">
        <v>12581</v>
      </c>
      <c r="B386" t="s">
        <v>41</v>
      </c>
      <c r="C386" t="s">
        <v>39</v>
      </c>
      <c r="D386" s="7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41</v>
      </c>
      <c r="C387" t="s">
        <v>40</v>
      </c>
      <c r="D387" s="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aged",IF(L387&lt;31,"Adolescent","invalid")))</f>
        <v>Middle aged</v>
      </c>
      <c r="N387" t="s">
        <v>20</v>
      </c>
    </row>
    <row r="388" spans="1:14">
      <c r="A388">
        <v>28957</v>
      </c>
      <c r="B388" t="s">
        <v>41</v>
      </c>
      <c r="C388" t="s">
        <v>39</v>
      </c>
      <c r="D388" s="7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42</v>
      </c>
      <c r="K388" t="s">
        <v>27</v>
      </c>
      <c r="L388">
        <v>34</v>
      </c>
      <c r="M388" t="str">
        <f t="shared" si="6"/>
        <v>Middle aged</v>
      </c>
      <c r="N388" t="s">
        <v>17</v>
      </c>
    </row>
    <row r="389" spans="1:14">
      <c r="A389">
        <v>13690</v>
      </c>
      <c r="B389" t="s">
        <v>41</v>
      </c>
      <c r="C389" t="s">
        <v>39</v>
      </c>
      <c r="D389" s="7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aged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7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7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aged</v>
      </c>
      <c r="N391" t="s">
        <v>17</v>
      </c>
    </row>
    <row r="392" spans="1:14">
      <c r="A392">
        <v>21184</v>
      </c>
      <c r="B392" t="s">
        <v>41</v>
      </c>
      <c r="C392" t="s">
        <v>40</v>
      </c>
      <c r="D392" s="7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aged</v>
      </c>
      <c r="N392" t="s">
        <v>20</v>
      </c>
    </row>
    <row r="393" spans="1:14">
      <c r="A393">
        <v>26150</v>
      </c>
      <c r="B393" t="s">
        <v>41</v>
      </c>
      <c r="C393" t="s">
        <v>39</v>
      </c>
      <c r="D393" s="7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aged</v>
      </c>
      <c r="N393" t="s">
        <v>17</v>
      </c>
    </row>
    <row r="394" spans="1:14">
      <c r="A394">
        <v>24151</v>
      </c>
      <c r="B394" t="s">
        <v>41</v>
      </c>
      <c r="C394" t="s">
        <v>40</v>
      </c>
      <c r="D394" s="7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aged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7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aged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7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aged</v>
      </c>
      <c r="N396" t="s">
        <v>17</v>
      </c>
    </row>
    <row r="397" spans="1:14">
      <c r="A397">
        <v>14926</v>
      </c>
      <c r="B397" t="s">
        <v>38</v>
      </c>
      <c r="C397" t="s">
        <v>40</v>
      </c>
      <c r="D397" s="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aged</v>
      </c>
      <c r="N397" t="s">
        <v>17</v>
      </c>
    </row>
    <row r="398" spans="1:14">
      <c r="A398">
        <v>16163</v>
      </c>
      <c r="B398" t="s">
        <v>41</v>
      </c>
      <c r="C398" t="s">
        <v>40</v>
      </c>
      <c r="D398" s="7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aged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7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41</v>
      </c>
      <c r="C400" t="s">
        <v>40</v>
      </c>
      <c r="D400" s="7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aged</v>
      </c>
      <c r="N400" t="s">
        <v>17</v>
      </c>
    </row>
    <row r="401" spans="1:14">
      <c r="A401">
        <v>26167</v>
      </c>
      <c r="B401" t="s">
        <v>41</v>
      </c>
      <c r="C401" t="s">
        <v>39</v>
      </c>
      <c r="D401" s="7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aged</v>
      </c>
      <c r="N401" t="s">
        <v>17</v>
      </c>
    </row>
    <row r="402" spans="1:14">
      <c r="A402">
        <v>25792</v>
      </c>
      <c r="B402" t="s">
        <v>41</v>
      </c>
      <c r="C402" t="s">
        <v>39</v>
      </c>
      <c r="D402" s="7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42</v>
      </c>
      <c r="K402" t="s">
        <v>19</v>
      </c>
      <c r="L402">
        <v>53</v>
      </c>
      <c r="M402" t="str">
        <f t="shared" si="6"/>
        <v>Middle aged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7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38</v>
      </c>
      <c r="C404" t="s">
        <v>40</v>
      </c>
      <c r="D404" s="7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aged</v>
      </c>
      <c r="N404" t="s">
        <v>20</v>
      </c>
    </row>
    <row r="405" spans="1:14">
      <c r="A405">
        <v>17882</v>
      </c>
      <c r="B405" t="s">
        <v>38</v>
      </c>
      <c r="C405" t="s">
        <v>40</v>
      </c>
      <c r="D405" s="7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aged</v>
      </c>
      <c r="N405" t="s">
        <v>20</v>
      </c>
    </row>
    <row r="406" spans="1:14">
      <c r="A406">
        <v>22174</v>
      </c>
      <c r="B406" t="s">
        <v>38</v>
      </c>
      <c r="C406" t="s">
        <v>40</v>
      </c>
      <c r="D406" s="7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aged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aged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7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aged</v>
      </c>
      <c r="N408" t="s">
        <v>20</v>
      </c>
    </row>
    <row r="409" spans="1:14">
      <c r="A409">
        <v>27582</v>
      </c>
      <c r="B409" t="s">
        <v>41</v>
      </c>
      <c r="C409" t="s">
        <v>39</v>
      </c>
      <c r="D409" s="7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aged</v>
      </c>
      <c r="N409" t="s">
        <v>17</v>
      </c>
    </row>
    <row r="410" spans="1:14">
      <c r="A410">
        <v>12744</v>
      </c>
      <c r="B410" t="s">
        <v>41</v>
      </c>
      <c r="C410" t="s">
        <v>39</v>
      </c>
      <c r="D410" s="7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aged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7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aged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7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aged</v>
      </c>
      <c r="N412" t="s">
        <v>17</v>
      </c>
    </row>
    <row r="413" spans="1:14">
      <c r="A413">
        <v>11116</v>
      </c>
      <c r="B413" t="s">
        <v>38</v>
      </c>
      <c r="C413" t="s">
        <v>40</v>
      </c>
      <c r="D413" s="7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aged</v>
      </c>
      <c r="N413" t="s">
        <v>20</v>
      </c>
    </row>
    <row r="414" spans="1:14">
      <c r="A414">
        <v>20053</v>
      </c>
      <c r="B414" t="s">
        <v>41</v>
      </c>
      <c r="C414" t="s">
        <v>40</v>
      </c>
      <c r="D414" s="7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aged</v>
      </c>
      <c r="N414" t="s">
        <v>20</v>
      </c>
    </row>
    <row r="415" spans="1:14">
      <c r="A415">
        <v>25266</v>
      </c>
      <c r="B415" t="s">
        <v>41</v>
      </c>
      <c r="C415" t="s">
        <v>39</v>
      </c>
      <c r="D415" s="7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7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aged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aged</v>
      </c>
      <c r="N417" t="s">
        <v>20</v>
      </c>
    </row>
    <row r="418" spans="1:14">
      <c r="A418">
        <v>11897</v>
      </c>
      <c r="B418" t="s">
        <v>41</v>
      </c>
      <c r="C418" t="s">
        <v>40</v>
      </c>
      <c r="D418" s="7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aged</v>
      </c>
      <c r="N418" t="s">
        <v>17</v>
      </c>
    </row>
    <row r="419" spans="1:14">
      <c r="A419">
        <v>11139</v>
      </c>
      <c r="B419" t="s">
        <v>41</v>
      </c>
      <c r="C419" t="s">
        <v>39</v>
      </c>
      <c r="D419" s="7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38</v>
      </c>
      <c r="C420" t="s">
        <v>40</v>
      </c>
      <c r="D420" s="7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aged</v>
      </c>
      <c r="N420" t="s">
        <v>17</v>
      </c>
    </row>
    <row r="421" spans="1:14">
      <c r="A421">
        <v>19255</v>
      </c>
      <c r="B421" t="s">
        <v>41</v>
      </c>
      <c r="C421" t="s">
        <v>40</v>
      </c>
      <c r="D421" s="7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aged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7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42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38</v>
      </c>
      <c r="C423" t="s">
        <v>40</v>
      </c>
      <c r="D423" s="7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aged</v>
      </c>
      <c r="N423" t="s">
        <v>20</v>
      </c>
    </row>
    <row r="424" spans="1:14">
      <c r="A424">
        <v>24901</v>
      </c>
      <c r="B424" t="s">
        <v>41</v>
      </c>
      <c r="C424" t="s">
        <v>40</v>
      </c>
      <c r="D424" s="7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42</v>
      </c>
      <c r="K424" t="s">
        <v>27</v>
      </c>
      <c r="L424">
        <v>32</v>
      </c>
      <c r="M424" t="str">
        <f t="shared" si="6"/>
        <v>Middle aged</v>
      </c>
      <c r="N424" t="s">
        <v>17</v>
      </c>
    </row>
    <row r="425" spans="1:14">
      <c r="A425">
        <v>27169</v>
      </c>
      <c r="B425" t="s">
        <v>41</v>
      </c>
      <c r="C425" t="s">
        <v>40</v>
      </c>
      <c r="D425" s="7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aged</v>
      </c>
      <c r="N425" t="s">
        <v>17</v>
      </c>
    </row>
    <row r="426" spans="1:14">
      <c r="A426">
        <v>14805</v>
      </c>
      <c r="B426" t="s">
        <v>41</v>
      </c>
      <c r="C426" t="s">
        <v>39</v>
      </c>
      <c r="D426" s="7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aged</v>
      </c>
      <c r="N426" t="s">
        <v>20</v>
      </c>
    </row>
    <row r="427" spans="1:14">
      <c r="A427">
        <v>15822</v>
      </c>
      <c r="B427" t="s">
        <v>38</v>
      </c>
      <c r="C427" t="s">
        <v>40</v>
      </c>
      <c r="D427" s="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41</v>
      </c>
      <c r="C428" t="s">
        <v>40</v>
      </c>
      <c r="D428" s="7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41</v>
      </c>
      <c r="C429" t="s">
        <v>39</v>
      </c>
      <c r="D429" s="7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aged</v>
      </c>
      <c r="N429" t="s">
        <v>17</v>
      </c>
    </row>
    <row r="430" spans="1:14">
      <c r="A430">
        <v>22204</v>
      </c>
      <c r="B430" t="s">
        <v>38</v>
      </c>
      <c r="C430" t="s">
        <v>40</v>
      </c>
      <c r="D430" s="7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aged</v>
      </c>
      <c r="N430" t="s">
        <v>20</v>
      </c>
    </row>
    <row r="431" spans="1:14">
      <c r="A431">
        <v>12718</v>
      </c>
      <c r="B431" t="s">
        <v>41</v>
      </c>
      <c r="C431" t="s">
        <v>39</v>
      </c>
      <c r="D431" s="7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aged</v>
      </c>
      <c r="N431" t="s">
        <v>20</v>
      </c>
    </row>
    <row r="432" spans="1:14">
      <c r="A432">
        <v>15019</v>
      </c>
      <c r="B432" t="s">
        <v>41</v>
      </c>
      <c r="C432" t="s">
        <v>39</v>
      </c>
      <c r="D432" s="7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41</v>
      </c>
      <c r="C433" t="s">
        <v>40</v>
      </c>
      <c r="D433" s="7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7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42</v>
      </c>
      <c r="K434" t="s">
        <v>27</v>
      </c>
      <c r="L434">
        <v>34</v>
      </c>
      <c r="M434" t="str">
        <f t="shared" si="6"/>
        <v>Middle aged</v>
      </c>
      <c r="N434" t="s">
        <v>17</v>
      </c>
    </row>
    <row r="435" spans="1:14">
      <c r="A435">
        <v>27814</v>
      </c>
      <c r="B435" t="s">
        <v>41</v>
      </c>
      <c r="C435" t="s">
        <v>39</v>
      </c>
      <c r="D435" s="7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7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aged</v>
      </c>
      <c r="N436" t="s">
        <v>17</v>
      </c>
    </row>
    <row r="437" spans="1:14">
      <c r="A437">
        <v>29447</v>
      </c>
      <c r="B437" t="s">
        <v>41</v>
      </c>
      <c r="C437" t="s">
        <v>39</v>
      </c>
      <c r="D437" s="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7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aged</v>
      </c>
      <c r="N438" t="s">
        <v>17</v>
      </c>
    </row>
    <row r="439" spans="1:14">
      <c r="A439">
        <v>27824</v>
      </c>
      <c r="B439" t="s">
        <v>41</v>
      </c>
      <c r="C439" t="s">
        <v>39</v>
      </c>
      <c r="D439" s="7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41</v>
      </c>
      <c r="C440" t="s">
        <v>39</v>
      </c>
      <c r="D440" s="7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aged</v>
      </c>
      <c r="N440" t="s">
        <v>17</v>
      </c>
    </row>
    <row r="441" spans="1:14">
      <c r="A441">
        <v>19618</v>
      </c>
      <c r="B441" t="s">
        <v>38</v>
      </c>
      <c r="C441" t="s">
        <v>40</v>
      </c>
      <c r="D441" s="7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aged</v>
      </c>
      <c r="N441" t="s">
        <v>20</v>
      </c>
    </row>
    <row r="442" spans="1:14">
      <c r="A442">
        <v>21561</v>
      </c>
      <c r="B442" t="s">
        <v>41</v>
      </c>
      <c r="C442" t="s">
        <v>40</v>
      </c>
      <c r="D442" s="7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42</v>
      </c>
      <c r="K442" t="s">
        <v>27</v>
      </c>
      <c r="L442">
        <v>34</v>
      </c>
      <c r="M442" t="str">
        <f t="shared" si="6"/>
        <v>Middle aged</v>
      </c>
      <c r="N442" t="s">
        <v>17</v>
      </c>
    </row>
    <row r="443" spans="1:14">
      <c r="A443">
        <v>11061</v>
      </c>
      <c r="B443" t="s">
        <v>38</v>
      </c>
      <c r="C443" t="s">
        <v>40</v>
      </c>
      <c r="D443" s="7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aged</v>
      </c>
      <c r="N443" t="s">
        <v>17</v>
      </c>
    </row>
    <row r="444" spans="1:14">
      <c r="A444">
        <v>26651</v>
      </c>
      <c r="B444" t="s">
        <v>41</v>
      </c>
      <c r="C444" t="s">
        <v>40</v>
      </c>
      <c r="D444" s="7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aged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7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aged</v>
      </c>
      <c r="N445" t="s">
        <v>17</v>
      </c>
    </row>
    <row r="446" spans="1:14">
      <c r="A446">
        <v>12731</v>
      </c>
      <c r="B446" t="s">
        <v>41</v>
      </c>
      <c r="C446" t="s">
        <v>40</v>
      </c>
      <c r="D446" s="7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aged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aged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7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42</v>
      </c>
      <c r="K448" t="s">
        <v>27</v>
      </c>
      <c r="L448">
        <v>48</v>
      </c>
      <c r="M448" t="str">
        <f t="shared" si="6"/>
        <v>Middle aged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7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aged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7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aged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7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aged",IF(L451&lt;31,"Adolescent","invalid")))</f>
        <v>Middle aged</v>
      </c>
      <c r="N451" t="s">
        <v>20</v>
      </c>
    </row>
    <row r="452" spans="1:14">
      <c r="A452">
        <v>16559</v>
      </c>
      <c r="B452" t="s">
        <v>41</v>
      </c>
      <c r="C452" t="s">
        <v>39</v>
      </c>
      <c r="D452" s="7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aged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7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aged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7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41</v>
      </c>
      <c r="C455" t="s">
        <v>39</v>
      </c>
      <c r="D455" s="7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aged</v>
      </c>
      <c r="N455" t="s">
        <v>20</v>
      </c>
    </row>
    <row r="456" spans="1:14">
      <c r="A456">
        <v>12389</v>
      </c>
      <c r="B456" t="s">
        <v>41</v>
      </c>
      <c r="C456" t="s">
        <v>40</v>
      </c>
      <c r="D456" s="7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aged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aged</v>
      </c>
      <c r="N457" t="s">
        <v>17</v>
      </c>
    </row>
    <row r="458" spans="1:14">
      <c r="A458">
        <v>26385</v>
      </c>
      <c r="B458" t="s">
        <v>41</v>
      </c>
      <c r="C458" t="s">
        <v>40</v>
      </c>
      <c r="D458" s="7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aged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7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38</v>
      </c>
      <c r="C460" t="s">
        <v>40</v>
      </c>
      <c r="D460" s="7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42</v>
      </c>
      <c r="K460" t="s">
        <v>27</v>
      </c>
      <c r="L460">
        <v>32</v>
      </c>
      <c r="M460" t="str">
        <f t="shared" si="7"/>
        <v>Middle aged</v>
      </c>
      <c r="N460" t="s">
        <v>17</v>
      </c>
    </row>
    <row r="461" spans="1:14">
      <c r="A461">
        <v>21554</v>
      </c>
      <c r="B461" t="s">
        <v>41</v>
      </c>
      <c r="C461" t="s">
        <v>39</v>
      </c>
      <c r="D461" s="7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42</v>
      </c>
      <c r="K461" t="s">
        <v>27</v>
      </c>
      <c r="L461">
        <v>33</v>
      </c>
      <c r="M461" t="str">
        <f t="shared" si="7"/>
        <v>Middle aged</v>
      </c>
      <c r="N461" t="s">
        <v>20</v>
      </c>
    </row>
    <row r="462" spans="1:14">
      <c r="A462">
        <v>13662</v>
      </c>
      <c r="B462" t="s">
        <v>41</v>
      </c>
      <c r="C462" t="s">
        <v>40</v>
      </c>
      <c r="D462" s="7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aged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7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aged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7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aged</v>
      </c>
      <c r="N464" t="s">
        <v>17</v>
      </c>
    </row>
    <row r="465" spans="1:14">
      <c r="A465">
        <v>19331</v>
      </c>
      <c r="B465" t="s">
        <v>41</v>
      </c>
      <c r="C465" t="s">
        <v>40</v>
      </c>
      <c r="D465" s="7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aged</v>
      </c>
      <c r="N465" t="s">
        <v>20</v>
      </c>
    </row>
    <row r="466" spans="1:14">
      <c r="A466">
        <v>17754</v>
      </c>
      <c r="B466" t="s">
        <v>41</v>
      </c>
      <c r="C466" t="s">
        <v>39</v>
      </c>
      <c r="D466" s="7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aged</v>
      </c>
      <c r="N466" t="s">
        <v>17</v>
      </c>
    </row>
    <row r="467" spans="1:14">
      <c r="A467">
        <v>11149</v>
      </c>
      <c r="B467" t="s">
        <v>38</v>
      </c>
      <c r="C467" t="s">
        <v>40</v>
      </c>
      <c r="D467" s="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41</v>
      </c>
      <c r="C468" t="s">
        <v>39</v>
      </c>
      <c r="D468" s="7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aged</v>
      </c>
      <c r="N468" t="s">
        <v>17</v>
      </c>
    </row>
    <row r="469" spans="1:14">
      <c r="A469">
        <v>24305</v>
      </c>
      <c r="B469" t="s">
        <v>41</v>
      </c>
      <c r="C469" t="s">
        <v>40</v>
      </c>
      <c r="D469" s="7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aged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7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aged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7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41</v>
      </c>
      <c r="C472" t="s">
        <v>40</v>
      </c>
      <c r="D472" s="7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41</v>
      </c>
      <c r="C473" t="s">
        <v>40</v>
      </c>
      <c r="D473" s="7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aged</v>
      </c>
      <c r="N473" t="s">
        <v>17</v>
      </c>
    </row>
    <row r="474" spans="1:14">
      <c r="A474">
        <v>22634</v>
      </c>
      <c r="B474" t="s">
        <v>41</v>
      </c>
      <c r="C474" t="s">
        <v>39</v>
      </c>
      <c r="D474" s="7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aged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7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aged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7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aged</v>
      </c>
      <c r="N476" t="s">
        <v>17</v>
      </c>
    </row>
    <row r="477" spans="1:14">
      <c r="A477">
        <v>19748</v>
      </c>
      <c r="B477" t="s">
        <v>38</v>
      </c>
      <c r="C477" t="s">
        <v>40</v>
      </c>
      <c r="D477" s="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41</v>
      </c>
      <c r="C478" t="s">
        <v>39</v>
      </c>
      <c r="D478" s="7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aged</v>
      </c>
      <c r="N478" t="s">
        <v>17</v>
      </c>
    </row>
    <row r="479" spans="1:14">
      <c r="A479">
        <v>14032</v>
      </c>
      <c r="B479" t="s">
        <v>38</v>
      </c>
      <c r="C479" t="s">
        <v>40</v>
      </c>
      <c r="D479" s="7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aged</v>
      </c>
      <c r="N479" t="s">
        <v>17</v>
      </c>
    </row>
    <row r="480" spans="1:14">
      <c r="A480">
        <v>22610</v>
      </c>
      <c r="B480" t="s">
        <v>38</v>
      </c>
      <c r="C480" t="s">
        <v>40</v>
      </c>
      <c r="D480" s="7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aged</v>
      </c>
      <c r="N480" t="s">
        <v>17</v>
      </c>
    </row>
    <row r="481" spans="1:14">
      <c r="A481">
        <v>26984</v>
      </c>
      <c r="B481" t="s">
        <v>38</v>
      </c>
      <c r="C481" t="s">
        <v>40</v>
      </c>
      <c r="D481" s="7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aged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7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aged</v>
      </c>
      <c r="N482" t="s">
        <v>20</v>
      </c>
    </row>
    <row r="483" spans="1:14">
      <c r="A483">
        <v>28564</v>
      </c>
      <c r="B483" t="s">
        <v>41</v>
      </c>
      <c r="C483" t="s">
        <v>39</v>
      </c>
      <c r="D483" s="7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aged</v>
      </c>
      <c r="N483" t="s">
        <v>17</v>
      </c>
    </row>
    <row r="484" spans="1:14">
      <c r="A484">
        <v>28521</v>
      </c>
      <c r="B484" t="s">
        <v>41</v>
      </c>
      <c r="C484" t="s">
        <v>40</v>
      </c>
      <c r="D484" s="7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aged</v>
      </c>
      <c r="N484" t="s">
        <v>17</v>
      </c>
    </row>
    <row r="485" spans="1:14">
      <c r="A485">
        <v>15450</v>
      </c>
      <c r="B485" t="s">
        <v>38</v>
      </c>
      <c r="C485" t="s">
        <v>40</v>
      </c>
      <c r="D485" s="7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41</v>
      </c>
      <c r="C486" t="s">
        <v>39</v>
      </c>
      <c r="D486" s="7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aged</v>
      </c>
      <c r="N486" t="s">
        <v>17</v>
      </c>
    </row>
    <row r="487" spans="1:14">
      <c r="A487">
        <v>19491</v>
      </c>
      <c r="B487" t="s">
        <v>41</v>
      </c>
      <c r="C487" t="s">
        <v>40</v>
      </c>
      <c r="D487" s="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aged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7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42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38</v>
      </c>
      <c r="C489" t="s">
        <v>40</v>
      </c>
      <c r="D489" s="7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aged</v>
      </c>
      <c r="N489" t="s">
        <v>20</v>
      </c>
    </row>
    <row r="490" spans="1:14">
      <c r="A490">
        <v>15629</v>
      </c>
      <c r="B490" t="s">
        <v>41</v>
      </c>
      <c r="C490" t="s">
        <v>39</v>
      </c>
      <c r="D490" s="7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aged</v>
      </c>
      <c r="N490" t="s">
        <v>20</v>
      </c>
    </row>
    <row r="491" spans="1:14">
      <c r="A491">
        <v>27835</v>
      </c>
      <c r="B491" t="s">
        <v>38</v>
      </c>
      <c r="C491" t="s">
        <v>40</v>
      </c>
      <c r="D491" s="7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aged</v>
      </c>
      <c r="N491" t="s">
        <v>20</v>
      </c>
    </row>
    <row r="492" spans="1:14">
      <c r="A492">
        <v>11738</v>
      </c>
      <c r="B492" t="s">
        <v>38</v>
      </c>
      <c r="C492" t="s">
        <v>40</v>
      </c>
      <c r="D492" s="7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aged</v>
      </c>
      <c r="N492" t="s">
        <v>20</v>
      </c>
    </row>
    <row r="493" spans="1:14">
      <c r="A493">
        <v>25065</v>
      </c>
      <c r="B493" t="s">
        <v>38</v>
      </c>
      <c r="C493" t="s">
        <v>40</v>
      </c>
      <c r="D493" s="7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aged</v>
      </c>
      <c r="N493" t="s">
        <v>20</v>
      </c>
    </row>
    <row r="494" spans="1:14">
      <c r="A494">
        <v>26238</v>
      </c>
      <c r="B494" t="s">
        <v>41</v>
      </c>
      <c r="C494" t="s">
        <v>39</v>
      </c>
      <c r="D494" s="7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aged</v>
      </c>
      <c r="N494" t="s">
        <v>17</v>
      </c>
    </row>
    <row r="495" spans="1:14">
      <c r="A495">
        <v>23707</v>
      </c>
      <c r="B495" t="s">
        <v>41</v>
      </c>
      <c r="C495" t="s">
        <v>40</v>
      </c>
      <c r="D495" s="7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42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38</v>
      </c>
      <c r="C496" t="s">
        <v>40</v>
      </c>
      <c r="D496" s="7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aged</v>
      </c>
      <c r="N496" t="s">
        <v>20</v>
      </c>
    </row>
    <row r="497" spans="1:14">
      <c r="A497">
        <v>24981</v>
      </c>
      <c r="B497" t="s">
        <v>38</v>
      </c>
      <c r="C497" t="s">
        <v>40</v>
      </c>
      <c r="D497" s="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42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41</v>
      </c>
      <c r="C498" t="s">
        <v>39</v>
      </c>
      <c r="D498" s="7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aged</v>
      </c>
      <c r="N498" t="s">
        <v>17</v>
      </c>
    </row>
    <row r="499" spans="1:14">
      <c r="A499">
        <v>15302</v>
      </c>
      <c r="B499" t="s">
        <v>41</v>
      </c>
      <c r="C499" t="s">
        <v>39</v>
      </c>
      <c r="D499" s="7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aged</v>
      </c>
      <c r="N499" t="s">
        <v>17</v>
      </c>
    </row>
    <row r="500" spans="1:14">
      <c r="A500">
        <v>26012</v>
      </c>
      <c r="B500" t="s">
        <v>38</v>
      </c>
      <c r="C500" t="s">
        <v>40</v>
      </c>
      <c r="D500" s="7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aged</v>
      </c>
      <c r="N500" t="s">
        <v>17</v>
      </c>
    </row>
    <row r="501" spans="1:14">
      <c r="A501">
        <v>26575</v>
      </c>
      <c r="B501" t="s">
        <v>41</v>
      </c>
      <c r="C501" t="s">
        <v>39</v>
      </c>
      <c r="D501" s="7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aged</v>
      </c>
      <c r="N501" t="s">
        <v>17</v>
      </c>
    </row>
    <row r="502" spans="1:14">
      <c r="A502">
        <v>15559</v>
      </c>
      <c r="B502" t="s">
        <v>38</v>
      </c>
      <c r="C502" t="s">
        <v>40</v>
      </c>
      <c r="D502" s="7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aged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7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aged</v>
      </c>
      <c r="N503" t="s">
        <v>20</v>
      </c>
    </row>
    <row r="504" spans="1:14">
      <c r="A504">
        <v>15275</v>
      </c>
      <c r="B504" t="s">
        <v>38</v>
      </c>
      <c r="C504" t="s">
        <v>40</v>
      </c>
      <c r="D504" s="7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7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aged</v>
      </c>
      <c r="N505" t="s">
        <v>17</v>
      </c>
    </row>
    <row r="506" spans="1:14">
      <c r="A506">
        <v>25405</v>
      </c>
      <c r="B506" t="s">
        <v>38</v>
      </c>
      <c r="C506" t="s">
        <v>40</v>
      </c>
      <c r="D506" s="7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aged</v>
      </c>
      <c r="N506" t="s">
        <v>17</v>
      </c>
    </row>
    <row r="507" spans="1:14">
      <c r="A507">
        <v>15940</v>
      </c>
      <c r="B507" t="s">
        <v>38</v>
      </c>
      <c r="C507" t="s">
        <v>40</v>
      </c>
      <c r="D507" s="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aged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7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aged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7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aged</v>
      </c>
      <c r="N509" t="s">
        <v>17</v>
      </c>
    </row>
    <row r="510" spans="1:14">
      <c r="A510">
        <v>16337</v>
      </c>
      <c r="B510" t="s">
        <v>38</v>
      </c>
      <c r="C510" t="s">
        <v>40</v>
      </c>
      <c r="D510" s="7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38</v>
      </c>
      <c r="C511" t="s">
        <v>40</v>
      </c>
      <c r="D511" s="7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aged</v>
      </c>
      <c r="N511" t="s">
        <v>17</v>
      </c>
    </row>
    <row r="512" spans="1:14">
      <c r="A512">
        <v>18613</v>
      </c>
      <c r="B512" t="s">
        <v>41</v>
      </c>
      <c r="C512" t="s">
        <v>40</v>
      </c>
      <c r="D512" s="7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aged</v>
      </c>
      <c r="N512" t="s">
        <v>17</v>
      </c>
    </row>
    <row r="513" spans="1:14">
      <c r="A513">
        <v>12207</v>
      </c>
      <c r="B513" t="s">
        <v>41</v>
      </c>
      <c r="C513" t="s">
        <v>40</v>
      </c>
      <c r="D513" s="7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7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aged</v>
      </c>
      <c r="N514" t="s">
        <v>17</v>
      </c>
    </row>
    <row r="515" spans="1:14">
      <c r="A515">
        <v>13353</v>
      </c>
      <c r="B515" t="s">
        <v>41</v>
      </c>
      <c r="C515" t="s">
        <v>39</v>
      </c>
      <c r="D515" s="7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42</v>
      </c>
      <c r="K515" t="s">
        <v>35</v>
      </c>
      <c r="L515">
        <v>61</v>
      </c>
      <c r="M515" t="str">
        <f t="shared" ref="M515:M578" si="8">IF(L515&gt;54,"Old",IF(L515&gt;=31,"Middle aged",IF(L515&lt;31,"Adolescent","invalid")))</f>
        <v>Old</v>
      </c>
      <c r="N515" t="s">
        <v>17</v>
      </c>
    </row>
    <row r="516" spans="1:14">
      <c r="A516">
        <v>19399</v>
      </c>
      <c r="B516" t="s">
        <v>41</v>
      </c>
      <c r="C516" t="s">
        <v>40</v>
      </c>
      <c r="D516" s="7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aged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aged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7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aged</v>
      </c>
      <c r="N518" t="s">
        <v>20</v>
      </c>
    </row>
    <row r="519" spans="1:14">
      <c r="A519">
        <v>17269</v>
      </c>
      <c r="B519" t="s">
        <v>41</v>
      </c>
      <c r="C519" t="s">
        <v>40</v>
      </c>
      <c r="D519" s="7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aged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7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aged</v>
      </c>
      <c r="N520" t="s">
        <v>17</v>
      </c>
    </row>
    <row r="521" spans="1:14">
      <c r="A521">
        <v>15740</v>
      </c>
      <c r="B521" t="s">
        <v>38</v>
      </c>
      <c r="C521" t="s">
        <v>40</v>
      </c>
      <c r="D521" s="7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41</v>
      </c>
      <c r="C522" t="s">
        <v>40</v>
      </c>
      <c r="D522" s="7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aged</v>
      </c>
      <c r="N522" t="s">
        <v>20</v>
      </c>
    </row>
    <row r="523" spans="1:14">
      <c r="A523">
        <v>18976</v>
      </c>
      <c r="B523" t="s">
        <v>41</v>
      </c>
      <c r="C523" t="s">
        <v>40</v>
      </c>
      <c r="D523" s="7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42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41</v>
      </c>
      <c r="C524" t="s">
        <v>40</v>
      </c>
      <c r="D524" s="7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aged</v>
      </c>
      <c r="N524" t="s">
        <v>17</v>
      </c>
    </row>
    <row r="525" spans="1:14">
      <c r="A525">
        <v>13283</v>
      </c>
      <c r="B525" t="s">
        <v>38</v>
      </c>
      <c r="C525" t="s">
        <v>40</v>
      </c>
      <c r="D525" s="7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aged</v>
      </c>
      <c r="N525" t="s">
        <v>17</v>
      </c>
    </row>
    <row r="526" spans="1:14">
      <c r="A526">
        <v>17471</v>
      </c>
      <c r="B526" t="s">
        <v>41</v>
      </c>
      <c r="C526" t="s">
        <v>39</v>
      </c>
      <c r="D526" s="7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41</v>
      </c>
      <c r="C527" t="s">
        <v>40</v>
      </c>
      <c r="D527" s="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42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7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aged</v>
      </c>
      <c r="N528" t="s">
        <v>20</v>
      </c>
    </row>
    <row r="529" spans="1:14">
      <c r="A529">
        <v>11641</v>
      </c>
      <c r="B529" t="s">
        <v>38</v>
      </c>
      <c r="C529" t="s">
        <v>40</v>
      </c>
      <c r="D529" s="7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aged</v>
      </c>
      <c r="N529" t="s">
        <v>20</v>
      </c>
    </row>
    <row r="530" spans="1:14">
      <c r="A530">
        <v>11935</v>
      </c>
      <c r="B530" t="s">
        <v>41</v>
      </c>
      <c r="C530" t="s">
        <v>39</v>
      </c>
      <c r="D530" s="7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38</v>
      </c>
      <c r="C531" t="s">
        <v>40</v>
      </c>
      <c r="D531" s="7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42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38</v>
      </c>
      <c r="C532" t="s">
        <v>40</v>
      </c>
      <c r="D532" s="7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41</v>
      </c>
      <c r="C533" t="s">
        <v>40</v>
      </c>
      <c r="D533" s="7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41</v>
      </c>
      <c r="C534" t="s">
        <v>39</v>
      </c>
      <c r="D534" s="7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aged</v>
      </c>
      <c r="N534" t="s">
        <v>17</v>
      </c>
    </row>
    <row r="535" spans="1:14">
      <c r="A535">
        <v>24941</v>
      </c>
      <c r="B535" t="s">
        <v>38</v>
      </c>
      <c r="C535" t="s">
        <v>40</v>
      </c>
      <c r="D535" s="7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42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38</v>
      </c>
      <c r="C536" t="s">
        <v>40</v>
      </c>
      <c r="D536" s="7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42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38</v>
      </c>
      <c r="C537" t="s">
        <v>40</v>
      </c>
      <c r="D537" s="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42</v>
      </c>
      <c r="K537" t="s">
        <v>35</v>
      </c>
      <c r="L537">
        <v>41</v>
      </c>
      <c r="M537" t="str">
        <f t="shared" si="8"/>
        <v>Middle aged</v>
      </c>
      <c r="N537" t="s">
        <v>20</v>
      </c>
    </row>
    <row r="538" spans="1:14">
      <c r="A538">
        <v>13907</v>
      </c>
      <c r="B538" t="s">
        <v>41</v>
      </c>
      <c r="C538" t="s">
        <v>39</v>
      </c>
      <c r="D538" s="7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aged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7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aged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7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aged</v>
      </c>
      <c r="N540" t="s">
        <v>20</v>
      </c>
    </row>
    <row r="541" spans="1:14">
      <c r="A541">
        <v>22294</v>
      </c>
      <c r="B541" t="s">
        <v>41</v>
      </c>
      <c r="C541" t="s">
        <v>39</v>
      </c>
      <c r="D541" s="7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aged</v>
      </c>
      <c r="N541" t="s">
        <v>17</v>
      </c>
    </row>
    <row r="542" spans="1:14">
      <c r="A542">
        <v>12195</v>
      </c>
      <c r="B542" t="s">
        <v>41</v>
      </c>
      <c r="C542" t="s">
        <v>39</v>
      </c>
      <c r="D542" s="7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aged</v>
      </c>
      <c r="N542" t="s">
        <v>20</v>
      </c>
    </row>
    <row r="543" spans="1:14">
      <c r="A543">
        <v>25375</v>
      </c>
      <c r="B543" t="s">
        <v>38</v>
      </c>
      <c r="C543" t="s">
        <v>40</v>
      </c>
      <c r="D543" s="7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aged</v>
      </c>
      <c r="N543" t="s">
        <v>20</v>
      </c>
    </row>
    <row r="544" spans="1:14">
      <c r="A544">
        <v>11143</v>
      </c>
      <c r="B544" t="s">
        <v>38</v>
      </c>
      <c r="C544" t="s">
        <v>40</v>
      </c>
      <c r="D544" s="7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7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aged</v>
      </c>
      <c r="N545" t="s">
        <v>20</v>
      </c>
    </row>
    <row r="546" spans="1:14">
      <c r="A546">
        <v>24397</v>
      </c>
      <c r="B546" t="s">
        <v>41</v>
      </c>
      <c r="C546" t="s">
        <v>40</v>
      </c>
      <c r="D546" s="7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aged</v>
      </c>
      <c r="N546" t="s">
        <v>20</v>
      </c>
    </row>
    <row r="547" spans="1:14">
      <c r="A547">
        <v>19758</v>
      </c>
      <c r="B547" t="s">
        <v>41</v>
      </c>
      <c r="C547" t="s">
        <v>40</v>
      </c>
      <c r="D547" s="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38</v>
      </c>
      <c r="C548" t="s">
        <v>40</v>
      </c>
      <c r="D548" s="7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aged</v>
      </c>
      <c r="N548" t="s">
        <v>17</v>
      </c>
    </row>
    <row r="549" spans="1:14">
      <c r="A549">
        <v>19884</v>
      </c>
      <c r="B549" t="s">
        <v>38</v>
      </c>
      <c r="C549" t="s">
        <v>40</v>
      </c>
      <c r="D549" s="7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41</v>
      </c>
      <c r="C550" t="s">
        <v>39</v>
      </c>
      <c r="D550" s="7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aged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7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aged</v>
      </c>
      <c r="N551" t="s">
        <v>17</v>
      </c>
    </row>
    <row r="552" spans="1:14">
      <c r="A552">
        <v>14063</v>
      </c>
      <c r="B552" t="s">
        <v>41</v>
      </c>
      <c r="C552" t="s">
        <v>39</v>
      </c>
      <c r="D552" s="7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aged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7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42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41</v>
      </c>
      <c r="C554" t="s">
        <v>40</v>
      </c>
      <c r="D554" s="7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42</v>
      </c>
      <c r="K554" t="s">
        <v>35</v>
      </c>
      <c r="L554">
        <v>54</v>
      </c>
      <c r="M554" t="str">
        <f t="shared" si="8"/>
        <v>Middle aged</v>
      </c>
      <c r="N554" t="s">
        <v>17</v>
      </c>
    </row>
    <row r="555" spans="1:14">
      <c r="A555">
        <v>17533</v>
      </c>
      <c r="B555" t="s">
        <v>38</v>
      </c>
      <c r="C555" t="s">
        <v>40</v>
      </c>
      <c r="D555" s="7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7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aged</v>
      </c>
      <c r="N556" t="s">
        <v>17</v>
      </c>
    </row>
    <row r="557" spans="1:14">
      <c r="A557">
        <v>17025</v>
      </c>
      <c r="B557" t="s">
        <v>41</v>
      </c>
      <c r="C557" t="s">
        <v>40</v>
      </c>
      <c r="D557" s="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aged</v>
      </c>
      <c r="N557" t="s">
        <v>17</v>
      </c>
    </row>
    <row r="558" spans="1:14">
      <c r="A558">
        <v>25293</v>
      </c>
      <c r="B558" t="s">
        <v>38</v>
      </c>
      <c r="C558" t="s">
        <v>40</v>
      </c>
      <c r="D558" s="7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aged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7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aged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7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aged</v>
      </c>
      <c r="N560" t="s">
        <v>20</v>
      </c>
    </row>
    <row r="561" spans="1:14">
      <c r="A561">
        <v>15895</v>
      </c>
      <c r="B561" t="s">
        <v>41</v>
      </c>
      <c r="C561" t="s">
        <v>39</v>
      </c>
      <c r="D561" s="7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42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7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aged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7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aged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7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aged</v>
      </c>
      <c r="N564" t="s">
        <v>17</v>
      </c>
    </row>
    <row r="565" spans="1:14">
      <c r="A565">
        <v>25006</v>
      </c>
      <c r="B565" t="s">
        <v>41</v>
      </c>
      <c r="C565" t="s">
        <v>39</v>
      </c>
      <c r="D565" s="7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41</v>
      </c>
      <c r="C566" t="s">
        <v>40</v>
      </c>
      <c r="D566" s="7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38</v>
      </c>
      <c r="C567" t="s">
        <v>40</v>
      </c>
      <c r="D567" s="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aged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7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38</v>
      </c>
      <c r="C569" t="s">
        <v>40</v>
      </c>
      <c r="D569" s="7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aged</v>
      </c>
      <c r="N569" t="s">
        <v>17</v>
      </c>
    </row>
    <row r="570" spans="1:14">
      <c r="A570">
        <v>23378</v>
      </c>
      <c r="B570" t="s">
        <v>38</v>
      </c>
      <c r="C570" t="s">
        <v>40</v>
      </c>
      <c r="D570" s="7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aged</v>
      </c>
      <c r="N570" t="s">
        <v>17</v>
      </c>
    </row>
    <row r="571" spans="1:14">
      <c r="A571">
        <v>26452</v>
      </c>
      <c r="B571" t="s">
        <v>41</v>
      </c>
      <c r="C571" t="s">
        <v>40</v>
      </c>
      <c r="D571" s="7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42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38</v>
      </c>
      <c r="C572" t="s">
        <v>40</v>
      </c>
      <c r="D572" s="7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aged</v>
      </c>
      <c r="N572" t="s">
        <v>20</v>
      </c>
    </row>
    <row r="573" spans="1:14">
      <c r="A573">
        <v>20528</v>
      </c>
      <c r="B573" t="s">
        <v>38</v>
      </c>
      <c r="C573" t="s">
        <v>40</v>
      </c>
      <c r="D573" s="7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41</v>
      </c>
      <c r="C574" t="s">
        <v>40</v>
      </c>
      <c r="D574" s="7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38</v>
      </c>
      <c r="C575" t="s">
        <v>40</v>
      </c>
      <c r="D575" s="7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41</v>
      </c>
      <c r="C576" t="s">
        <v>39</v>
      </c>
      <c r="D576" s="7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aged</v>
      </c>
      <c r="N576" t="s">
        <v>17</v>
      </c>
    </row>
    <row r="577" spans="1:14">
      <c r="A577">
        <v>13388</v>
      </c>
      <c r="B577" t="s">
        <v>41</v>
      </c>
      <c r="C577" t="s">
        <v>40</v>
      </c>
      <c r="D577" s="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42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41</v>
      </c>
      <c r="C578" t="s">
        <v>39</v>
      </c>
      <c r="D578" s="7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aged</v>
      </c>
      <c r="N578" t="s">
        <v>20</v>
      </c>
    </row>
    <row r="579" spans="1:14">
      <c r="A579">
        <v>16917</v>
      </c>
      <c r="B579" t="s">
        <v>38</v>
      </c>
      <c r="C579" t="s">
        <v>40</v>
      </c>
      <c r="D579" s="7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aged",IF(L579&lt;31,"Adolescent","invalid")))</f>
        <v>Middle aged</v>
      </c>
      <c r="N579" t="s">
        <v>20</v>
      </c>
    </row>
    <row r="580" spans="1:14">
      <c r="A580">
        <v>15313</v>
      </c>
      <c r="B580" t="s">
        <v>38</v>
      </c>
      <c r="C580" t="s">
        <v>40</v>
      </c>
      <c r="D580" s="7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41</v>
      </c>
      <c r="C581" t="s">
        <v>39</v>
      </c>
      <c r="D581" s="7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aged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7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42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38</v>
      </c>
      <c r="C583" t="s">
        <v>40</v>
      </c>
      <c r="D583" s="7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38</v>
      </c>
      <c r="C584" t="s">
        <v>40</v>
      </c>
      <c r="D584" s="7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aged</v>
      </c>
      <c r="N584" t="s">
        <v>20</v>
      </c>
    </row>
    <row r="585" spans="1:14">
      <c r="A585">
        <v>24943</v>
      </c>
      <c r="B585" t="s">
        <v>38</v>
      </c>
      <c r="C585" t="s">
        <v>40</v>
      </c>
      <c r="D585" s="7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42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41</v>
      </c>
      <c r="C586" t="s">
        <v>40</v>
      </c>
      <c r="D586" s="7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aged</v>
      </c>
      <c r="N586" t="s">
        <v>17</v>
      </c>
    </row>
    <row r="587" spans="1:14">
      <c r="A587">
        <v>15194</v>
      </c>
      <c r="B587" t="s">
        <v>41</v>
      </c>
      <c r="C587" t="s">
        <v>40</v>
      </c>
      <c r="D587" s="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aged</v>
      </c>
      <c r="N587" t="s">
        <v>17</v>
      </c>
    </row>
    <row r="588" spans="1:14">
      <c r="A588">
        <v>17436</v>
      </c>
      <c r="B588" t="s">
        <v>38</v>
      </c>
      <c r="C588" t="s">
        <v>40</v>
      </c>
      <c r="D588" s="7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aged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7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aged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7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42</v>
      </c>
      <c r="K590" t="s">
        <v>35</v>
      </c>
      <c r="L590">
        <v>51</v>
      </c>
      <c r="M590" t="str">
        <f t="shared" si="9"/>
        <v>Middle aged</v>
      </c>
      <c r="N590" t="s">
        <v>17</v>
      </c>
    </row>
    <row r="591" spans="1:14">
      <c r="A591">
        <v>12100</v>
      </c>
      <c r="B591" t="s">
        <v>41</v>
      </c>
      <c r="C591" t="s">
        <v>40</v>
      </c>
      <c r="D591" s="7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42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7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aged</v>
      </c>
      <c r="N592" t="s">
        <v>17</v>
      </c>
    </row>
    <row r="593" spans="1:14">
      <c r="A593">
        <v>18545</v>
      </c>
      <c r="B593" t="s">
        <v>38</v>
      </c>
      <c r="C593" t="s">
        <v>40</v>
      </c>
      <c r="D593" s="7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42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41</v>
      </c>
      <c r="C594" t="s">
        <v>39</v>
      </c>
      <c r="D594" s="7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aged</v>
      </c>
      <c r="N594" t="s">
        <v>20</v>
      </c>
    </row>
    <row r="595" spans="1:14">
      <c r="A595">
        <v>19812</v>
      </c>
      <c r="B595" t="s">
        <v>41</v>
      </c>
      <c r="C595" t="s">
        <v>39</v>
      </c>
      <c r="D595" s="7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aged</v>
      </c>
      <c r="N595" t="s">
        <v>17</v>
      </c>
    </row>
    <row r="596" spans="1:14">
      <c r="A596">
        <v>27660</v>
      </c>
      <c r="B596" t="s">
        <v>38</v>
      </c>
      <c r="C596" t="s">
        <v>40</v>
      </c>
      <c r="D596" s="7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41</v>
      </c>
      <c r="C597" t="s">
        <v>39</v>
      </c>
      <c r="D597" s="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7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aged</v>
      </c>
      <c r="N598" t="s">
        <v>20</v>
      </c>
    </row>
    <row r="599" spans="1:14">
      <c r="A599">
        <v>28997</v>
      </c>
      <c r="B599" t="s">
        <v>41</v>
      </c>
      <c r="C599" t="s">
        <v>40</v>
      </c>
      <c r="D599" s="7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38</v>
      </c>
      <c r="C600" t="s">
        <v>40</v>
      </c>
      <c r="D600" s="7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aged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7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38</v>
      </c>
      <c r="C602" t="s">
        <v>40</v>
      </c>
      <c r="D602" s="7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aged</v>
      </c>
      <c r="N602" t="s">
        <v>20</v>
      </c>
    </row>
    <row r="603" spans="1:14">
      <c r="A603">
        <v>29231</v>
      </c>
      <c r="B603" t="s">
        <v>41</v>
      </c>
      <c r="C603" t="s">
        <v>40</v>
      </c>
      <c r="D603" s="7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aged</v>
      </c>
      <c r="N603" t="s">
        <v>20</v>
      </c>
    </row>
    <row r="604" spans="1:14">
      <c r="A604">
        <v>18858</v>
      </c>
      <c r="B604" t="s">
        <v>41</v>
      </c>
      <c r="C604" t="s">
        <v>40</v>
      </c>
      <c r="D604" s="7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aged</v>
      </c>
      <c r="N604" t="s">
        <v>17</v>
      </c>
    </row>
    <row r="605" spans="1:14">
      <c r="A605">
        <v>20000</v>
      </c>
      <c r="B605" t="s">
        <v>38</v>
      </c>
      <c r="C605" t="s">
        <v>40</v>
      </c>
      <c r="D605" s="7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aged</v>
      </c>
      <c r="N605" t="s">
        <v>17</v>
      </c>
    </row>
    <row r="606" spans="1:14">
      <c r="A606">
        <v>25261</v>
      </c>
      <c r="B606" t="s">
        <v>38</v>
      </c>
      <c r="C606" t="s">
        <v>40</v>
      </c>
      <c r="D606" s="7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41</v>
      </c>
      <c r="C607" t="s">
        <v>40</v>
      </c>
      <c r="D607" s="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aged</v>
      </c>
      <c r="N607" t="s">
        <v>17</v>
      </c>
    </row>
    <row r="608" spans="1:14">
      <c r="A608">
        <v>11644</v>
      </c>
      <c r="B608" t="s">
        <v>41</v>
      </c>
      <c r="C608" t="s">
        <v>40</v>
      </c>
      <c r="D608" s="7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aged</v>
      </c>
      <c r="N608" t="s">
        <v>20</v>
      </c>
    </row>
    <row r="609" spans="1:14">
      <c r="A609">
        <v>16145</v>
      </c>
      <c r="B609" t="s">
        <v>41</v>
      </c>
      <c r="C609" t="s">
        <v>39</v>
      </c>
      <c r="D609" s="7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42</v>
      </c>
      <c r="K609" t="s">
        <v>35</v>
      </c>
      <c r="L609">
        <v>46</v>
      </c>
      <c r="M609" t="str">
        <f t="shared" si="9"/>
        <v>Middle aged</v>
      </c>
      <c r="N609" t="s">
        <v>17</v>
      </c>
    </row>
    <row r="610" spans="1:14">
      <c r="A610">
        <v>16890</v>
      </c>
      <c r="B610" t="s">
        <v>38</v>
      </c>
      <c r="C610" t="s">
        <v>40</v>
      </c>
      <c r="D610" s="7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aged</v>
      </c>
      <c r="N610" t="s">
        <v>17</v>
      </c>
    </row>
    <row r="611" spans="1:14">
      <c r="A611">
        <v>25983</v>
      </c>
      <c r="B611" t="s">
        <v>38</v>
      </c>
      <c r="C611" t="s">
        <v>40</v>
      </c>
      <c r="D611" s="7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aged</v>
      </c>
      <c r="N611" t="s">
        <v>20</v>
      </c>
    </row>
    <row r="612" spans="1:14">
      <c r="A612">
        <v>14633</v>
      </c>
      <c r="B612" t="s">
        <v>38</v>
      </c>
      <c r="C612" t="s">
        <v>40</v>
      </c>
      <c r="D612" s="7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aged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7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aged</v>
      </c>
      <c r="N613" t="s">
        <v>17</v>
      </c>
    </row>
    <row r="614" spans="1:14">
      <c r="A614">
        <v>22983</v>
      </c>
      <c r="B614" t="s">
        <v>41</v>
      </c>
      <c r="C614" t="s">
        <v>39</v>
      </c>
      <c r="D614" s="7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41</v>
      </c>
      <c r="C615" t="s">
        <v>40</v>
      </c>
      <c r="D615" s="7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aged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7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aged</v>
      </c>
      <c r="N616" t="s">
        <v>20</v>
      </c>
    </row>
    <row r="617" spans="1:14">
      <c r="A617">
        <v>11538</v>
      </c>
      <c r="B617" t="s">
        <v>41</v>
      </c>
      <c r="C617" t="s">
        <v>39</v>
      </c>
      <c r="D617" s="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aged</v>
      </c>
      <c r="N617" t="s">
        <v>17</v>
      </c>
    </row>
    <row r="618" spans="1:14">
      <c r="A618">
        <v>16245</v>
      </c>
      <c r="B618" t="s">
        <v>41</v>
      </c>
      <c r="C618" t="s">
        <v>39</v>
      </c>
      <c r="D618" s="7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aged</v>
      </c>
      <c r="N618" t="s">
        <v>20</v>
      </c>
    </row>
    <row r="619" spans="1:14">
      <c r="A619">
        <v>17858</v>
      </c>
      <c r="B619" t="s">
        <v>38</v>
      </c>
      <c r="C619" t="s">
        <v>40</v>
      </c>
      <c r="D619" s="7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aged</v>
      </c>
      <c r="N619" t="s">
        <v>17</v>
      </c>
    </row>
    <row r="620" spans="1:14">
      <c r="A620">
        <v>25347</v>
      </c>
      <c r="B620" t="s">
        <v>41</v>
      </c>
      <c r="C620" t="s">
        <v>39</v>
      </c>
      <c r="D620" s="7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aged</v>
      </c>
      <c r="N620" t="s">
        <v>20</v>
      </c>
    </row>
    <row r="621" spans="1:14">
      <c r="A621">
        <v>15814</v>
      </c>
      <c r="B621" t="s">
        <v>41</v>
      </c>
      <c r="C621" t="s">
        <v>39</v>
      </c>
      <c r="D621" s="7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7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aged</v>
      </c>
      <c r="N622" t="s">
        <v>17</v>
      </c>
    </row>
    <row r="623" spans="1:14">
      <c r="A623">
        <v>11200</v>
      </c>
      <c r="B623" t="s">
        <v>38</v>
      </c>
      <c r="C623" t="s">
        <v>40</v>
      </c>
      <c r="D623" s="7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38</v>
      </c>
      <c r="C624" t="s">
        <v>40</v>
      </c>
      <c r="D624" s="7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aged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7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41</v>
      </c>
      <c r="C626" t="s">
        <v>39</v>
      </c>
      <c r="D626" s="7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38</v>
      </c>
      <c r="C627" t="s">
        <v>40</v>
      </c>
      <c r="D627" s="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7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7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41</v>
      </c>
      <c r="C630" t="s">
        <v>40</v>
      </c>
      <c r="D630" s="7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aged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7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aged</v>
      </c>
      <c r="N631" t="s">
        <v>20</v>
      </c>
    </row>
    <row r="632" spans="1:14">
      <c r="A632">
        <v>27753</v>
      </c>
      <c r="B632" t="s">
        <v>38</v>
      </c>
      <c r="C632" t="s">
        <v>40</v>
      </c>
      <c r="D632" s="7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41</v>
      </c>
      <c r="C633" t="s">
        <v>40</v>
      </c>
      <c r="D633" s="7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aged</v>
      </c>
      <c r="N633" t="s">
        <v>20</v>
      </c>
    </row>
    <row r="634" spans="1:14">
      <c r="A634">
        <v>13754</v>
      </c>
      <c r="B634" t="s">
        <v>41</v>
      </c>
      <c r="C634" t="s">
        <v>39</v>
      </c>
      <c r="D634" s="7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aged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7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aged</v>
      </c>
      <c r="N635" t="s">
        <v>17</v>
      </c>
    </row>
    <row r="636" spans="1:14">
      <c r="A636">
        <v>27388</v>
      </c>
      <c r="B636" t="s">
        <v>38</v>
      </c>
      <c r="C636" t="s">
        <v>40</v>
      </c>
      <c r="D636" s="7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41</v>
      </c>
      <c r="C637" t="s">
        <v>39</v>
      </c>
      <c r="D637" s="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aged</v>
      </c>
      <c r="N637" t="s">
        <v>20</v>
      </c>
    </row>
    <row r="638" spans="1:14">
      <c r="A638">
        <v>29237</v>
      </c>
      <c r="B638" t="s">
        <v>41</v>
      </c>
      <c r="C638" t="s">
        <v>39</v>
      </c>
      <c r="D638" s="7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aged</v>
      </c>
      <c r="N638" t="s">
        <v>17</v>
      </c>
    </row>
    <row r="639" spans="1:14">
      <c r="A639">
        <v>15272</v>
      </c>
      <c r="B639" t="s">
        <v>41</v>
      </c>
      <c r="C639" t="s">
        <v>40</v>
      </c>
      <c r="D639" s="7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41</v>
      </c>
      <c r="C640" t="s">
        <v>40</v>
      </c>
      <c r="D640" s="7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38</v>
      </c>
      <c r="C641" t="s">
        <v>40</v>
      </c>
      <c r="D641" s="7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7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38</v>
      </c>
      <c r="C643" t="s">
        <v>40</v>
      </c>
      <c r="D643" s="7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42</v>
      </c>
      <c r="K643" t="s">
        <v>35</v>
      </c>
      <c r="L643">
        <v>64</v>
      </c>
      <c r="M643" t="str">
        <f t="shared" ref="M643:M706" si="10">IF(L643&gt;54,"Old",IF(L643&gt;=31,"Middle aged",IF(L643&lt;31,"Adolescent","invalid")))</f>
        <v>Old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7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aged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7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aged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7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42</v>
      </c>
      <c r="K646" t="s">
        <v>35</v>
      </c>
      <c r="L646">
        <v>41</v>
      </c>
      <c r="M646" t="str">
        <f t="shared" si="10"/>
        <v>Middle aged</v>
      </c>
      <c r="N646" t="s">
        <v>20</v>
      </c>
    </row>
    <row r="647" spans="1:14">
      <c r="A647">
        <v>16217</v>
      </c>
      <c r="B647" t="s">
        <v>41</v>
      </c>
      <c r="C647" t="s">
        <v>39</v>
      </c>
      <c r="D647" s="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aged</v>
      </c>
      <c r="N647" t="s">
        <v>20</v>
      </c>
    </row>
    <row r="648" spans="1:14">
      <c r="A648">
        <v>16247</v>
      </c>
      <c r="B648" t="s">
        <v>41</v>
      </c>
      <c r="C648" t="s">
        <v>39</v>
      </c>
      <c r="D648" s="7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aged</v>
      </c>
      <c r="N648" t="s">
        <v>20</v>
      </c>
    </row>
    <row r="649" spans="1:14">
      <c r="A649">
        <v>22010</v>
      </c>
      <c r="B649" t="s">
        <v>41</v>
      </c>
      <c r="C649" t="s">
        <v>40</v>
      </c>
      <c r="D649" s="7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aged</v>
      </c>
      <c r="N649" t="s">
        <v>20</v>
      </c>
    </row>
    <row r="650" spans="1:14">
      <c r="A650">
        <v>25872</v>
      </c>
      <c r="B650" t="s">
        <v>41</v>
      </c>
      <c r="C650" t="s">
        <v>39</v>
      </c>
      <c r="D650" s="7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41</v>
      </c>
      <c r="C651" t="s">
        <v>39</v>
      </c>
      <c r="D651" s="7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aged</v>
      </c>
      <c r="N651" t="s">
        <v>17</v>
      </c>
    </row>
    <row r="652" spans="1:14">
      <c r="A652">
        <v>18435</v>
      </c>
      <c r="B652" t="s">
        <v>41</v>
      </c>
      <c r="C652" t="s">
        <v>39</v>
      </c>
      <c r="D652" s="7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42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41</v>
      </c>
      <c r="C653" t="s">
        <v>40</v>
      </c>
      <c r="D653" s="7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aged</v>
      </c>
      <c r="N653" t="s">
        <v>17</v>
      </c>
    </row>
    <row r="654" spans="1:14">
      <c r="A654">
        <v>11287</v>
      </c>
      <c r="B654" t="s">
        <v>38</v>
      </c>
      <c r="C654" t="s">
        <v>40</v>
      </c>
      <c r="D654" s="7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aged</v>
      </c>
      <c r="N654" t="s">
        <v>20</v>
      </c>
    </row>
    <row r="655" spans="1:14">
      <c r="A655">
        <v>13066</v>
      </c>
      <c r="B655" t="s">
        <v>41</v>
      </c>
      <c r="C655" t="s">
        <v>40</v>
      </c>
      <c r="D655" s="7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aged</v>
      </c>
      <c r="N655" t="s">
        <v>17</v>
      </c>
    </row>
    <row r="656" spans="1:14">
      <c r="A656">
        <v>29106</v>
      </c>
      <c r="B656" t="s">
        <v>41</v>
      </c>
      <c r="C656" t="s">
        <v>40</v>
      </c>
      <c r="D656" s="7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aged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aged</v>
      </c>
      <c r="N657" t="s">
        <v>20</v>
      </c>
    </row>
    <row r="658" spans="1:14">
      <c r="A658">
        <v>17531</v>
      </c>
      <c r="B658" t="s">
        <v>38</v>
      </c>
      <c r="C658" t="s">
        <v>40</v>
      </c>
      <c r="D658" s="7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aged</v>
      </c>
      <c r="N658" t="s">
        <v>20</v>
      </c>
    </row>
    <row r="659" spans="1:14">
      <c r="A659">
        <v>12964</v>
      </c>
      <c r="B659" t="s">
        <v>38</v>
      </c>
      <c r="C659" t="s">
        <v>40</v>
      </c>
      <c r="D659" s="7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aged</v>
      </c>
      <c r="N659" t="s">
        <v>20</v>
      </c>
    </row>
    <row r="660" spans="1:14">
      <c r="A660">
        <v>19133</v>
      </c>
      <c r="B660" t="s">
        <v>41</v>
      </c>
      <c r="C660" t="s">
        <v>40</v>
      </c>
      <c r="D660" s="7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aged</v>
      </c>
      <c r="N660" t="s">
        <v>17</v>
      </c>
    </row>
    <row r="661" spans="1:14">
      <c r="A661">
        <v>24643</v>
      </c>
      <c r="B661" t="s">
        <v>41</v>
      </c>
      <c r="C661" t="s">
        <v>39</v>
      </c>
      <c r="D661" s="7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42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7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aged</v>
      </c>
      <c r="N662" t="s">
        <v>17</v>
      </c>
    </row>
    <row r="663" spans="1:14">
      <c r="A663">
        <v>22976</v>
      </c>
      <c r="B663" t="s">
        <v>41</v>
      </c>
      <c r="C663" t="s">
        <v>40</v>
      </c>
      <c r="D663" s="7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41</v>
      </c>
      <c r="C664" t="s">
        <v>39</v>
      </c>
      <c r="D664" s="7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aged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7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aged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7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aged</v>
      </c>
      <c r="N666" t="s">
        <v>17</v>
      </c>
    </row>
    <row r="667" spans="1:14">
      <c r="A667">
        <v>14443</v>
      </c>
      <c r="B667" t="s">
        <v>38</v>
      </c>
      <c r="C667" t="s">
        <v>40</v>
      </c>
      <c r="D667" s="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aged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7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aged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7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42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7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aged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7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aged</v>
      </c>
      <c r="N671" t="s">
        <v>20</v>
      </c>
    </row>
    <row r="672" spans="1:14">
      <c r="A672">
        <v>21471</v>
      </c>
      <c r="B672" t="s">
        <v>38</v>
      </c>
      <c r="C672" t="s">
        <v>40</v>
      </c>
      <c r="D672" s="7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42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41</v>
      </c>
      <c r="C673" t="s">
        <v>39</v>
      </c>
      <c r="D673" s="7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aged</v>
      </c>
      <c r="N673" t="s">
        <v>17</v>
      </c>
    </row>
    <row r="674" spans="1:14">
      <c r="A674">
        <v>21260</v>
      </c>
      <c r="B674" t="s">
        <v>41</v>
      </c>
      <c r="C674" t="s">
        <v>39</v>
      </c>
      <c r="D674" s="7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41</v>
      </c>
      <c r="C675" t="s">
        <v>39</v>
      </c>
      <c r="D675" s="7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aged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7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aged</v>
      </c>
      <c r="N676" t="s">
        <v>20</v>
      </c>
    </row>
    <row r="677" spans="1:14">
      <c r="A677">
        <v>18517</v>
      </c>
      <c r="B677" t="s">
        <v>38</v>
      </c>
      <c r="C677" t="s">
        <v>40</v>
      </c>
      <c r="D677" s="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aged</v>
      </c>
      <c r="N677" t="s">
        <v>20</v>
      </c>
    </row>
    <row r="678" spans="1:14">
      <c r="A678">
        <v>21717</v>
      </c>
      <c r="B678" t="s">
        <v>38</v>
      </c>
      <c r="C678" t="s">
        <v>40</v>
      </c>
      <c r="D678" s="7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aged</v>
      </c>
      <c r="N678" t="s">
        <v>20</v>
      </c>
    </row>
    <row r="679" spans="1:14">
      <c r="A679">
        <v>13760</v>
      </c>
      <c r="B679" t="s">
        <v>38</v>
      </c>
      <c r="C679" t="s">
        <v>40</v>
      </c>
      <c r="D679" s="7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aged</v>
      </c>
      <c r="N679" t="s">
        <v>20</v>
      </c>
    </row>
    <row r="680" spans="1:14">
      <c r="A680">
        <v>18145</v>
      </c>
      <c r="B680" t="s">
        <v>38</v>
      </c>
      <c r="C680" t="s">
        <v>40</v>
      </c>
      <c r="D680" s="7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38</v>
      </c>
      <c r="C681" t="s">
        <v>40</v>
      </c>
      <c r="D681" s="7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42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7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aged</v>
      </c>
      <c r="N682" t="s">
        <v>20</v>
      </c>
    </row>
    <row r="683" spans="1:14">
      <c r="A683">
        <v>16377</v>
      </c>
      <c r="B683" t="s">
        <v>41</v>
      </c>
      <c r="C683" t="s">
        <v>39</v>
      </c>
      <c r="D683" s="7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aged</v>
      </c>
      <c r="N683" t="s">
        <v>20</v>
      </c>
    </row>
    <row r="684" spans="1:14">
      <c r="A684">
        <v>26248</v>
      </c>
      <c r="B684" t="s">
        <v>38</v>
      </c>
      <c r="C684" t="s">
        <v>40</v>
      </c>
      <c r="D684" s="7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aged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7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aged</v>
      </c>
      <c r="N685" t="s">
        <v>20</v>
      </c>
    </row>
    <row r="686" spans="1:14">
      <c r="A686">
        <v>29133</v>
      </c>
      <c r="B686" t="s">
        <v>41</v>
      </c>
      <c r="C686" t="s">
        <v>39</v>
      </c>
      <c r="D686" s="7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aged</v>
      </c>
      <c r="N686" t="s">
        <v>20</v>
      </c>
    </row>
    <row r="687" spans="1:14">
      <c r="A687">
        <v>27673</v>
      </c>
      <c r="B687" t="s">
        <v>41</v>
      </c>
      <c r="C687" t="s">
        <v>39</v>
      </c>
      <c r="D687" s="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aged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7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aged</v>
      </c>
      <c r="N688" t="s">
        <v>17</v>
      </c>
    </row>
    <row r="689" spans="1:14">
      <c r="A689">
        <v>18910</v>
      </c>
      <c r="B689" t="s">
        <v>41</v>
      </c>
      <c r="C689" t="s">
        <v>40</v>
      </c>
      <c r="D689" s="7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41</v>
      </c>
      <c r="C690" t="s">
        <v>40</v>
      </c>
      <c r="D690" s="7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38</v>
      </c>
      <c r="C691" t="s">
        <v>40</v>
      </c>
      <c r="D691" s="7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41</v>
      </c>
      <c r="C692" t="s">
        <v>39</v>
      </c>
      <c r="D692" s="7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aged</v>
      </c>
      <c r="N692" t="s">
        <v>20</v>
      </c>
    </row>
    <row r="693" spans="1:14">
      <c r="A693">
        <v>23144</v>
      </c>
      <c r="B693" t="s">
        <v>38</v>
      </c>
      <c r="C693" t="s">
        <v>40</v>
      </c>
      <c r="D693" s="7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aged</v>
      </c>
      <c r="N693" t="s">
        <v>17</v>
      </c>
    </row>
    <row r="694" spans="1:14">
      <c r="A694">
        <v>23376</v>
      </c>
      <c r="B694" t="s">
        <v>38</v>
      </c>
      <c r="C694" t="s">
        <v>40</v>
      </c>
      <c r="D694" s="7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aged</v>
      </c>
      <c r="N694" t="s">
        <v>17</v>
      </c>
    </row>
    <row r="695" spans="1:14">
      <c r="A695">
        <v>25970</v>
      </c>
      <c r="B695" t="s">
        <v>41</v>
      </c>
      <c r="C695" t="s">
        <v>39</v>
      </c>
      <c r="D695" s="7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aged</v>
      </c>
      <c r="N695" t="s">
        <v>17</v>
      </c>
    </row>
    <row r="696" spans="1:14">
      <c r="A696">
        <v>28068</v>
      </c>
      <c r="B696" t="s">
        <v>41</v>
      </c>
      <c r="C696" t="s">
        <v>39</v>
      </c>
      <c r="D696" s="7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aged</v>
      </c>
      <c r="N696" t="s">
        <v>17</v>
      </c>
    </row>
    <row r="697" spans="1:14">
      <c r="A697">
        <v>18390</v>
      </c>
      <c r="B697" t="s">
        <v>38</v>
      </c>
      <c r="C697" t="s">
        <v>40</v>
      </c>
      <c r="D697" s="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aged</v>
      </c>
      <c r="N697" t="s">
        <v>20</v>
      </c>
    </row>
    <row r="698" spans="1:14">
      <c r="A698">
        <v>29112</v>
      </c>
      <c r="B698" t="s">
        <v>41</v>
      </c>
      <c r="C698" t="s">
        <v>40</v>
      </c>
      <c r="D698" s="7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7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38</v>
      </c>
      <c r="C700" t="s">
        <v>40</v>
      </c>
      <c r="D700" s="7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aged</v>
      </c>
      <c r="N700" t="s">
        <v>20</v>
      </c>
    </row>
    <row r="701" spans="1:14">
      <c r="A701">
        <v>23479</v>
      </c>
      <c r="B701" t="s">
        <v>41</v>
      </c>
      <c r="C701" t="s">
        <v>40</v>
      </c>
      <c r="D701" s="7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aged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7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41</v>
      </c>
      <c r="C703" t="s">
        <v>40</v>
      </c>
      <c r="D703" s="7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38</v>
      </c>
      <c r="C704" t="s">
        <v>40</v>
      </c>
      <c r="D704" s="7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aged</v>
      </c>
      <c r="N704" t="s">
        <v>17</v>
      </c>
    </row>
    <row r="705" spans="1:14">
      <c r="A705">
        <v>11619</v>
      </c>
      <c r="B705" t="s">
        <v>41</v>
      </c>
      <c r="C705" t="s">
        <v>39</v>
      </c>
      <c r="D705" s="7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aged</v>
      </c>
      <c r="N705" t="s">
        <v>20</v>
      </c>
    </row>
    <row r="706" spans="1:14">
      <c r="A706">
        <v>29132</v>
      </c>
      <c r="B706" t="s">
        <v>41</v>
      </c>
      <c r="C706" t="s">
        <v>39</v>
      </c>
      <c r="D706" s="7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aged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42</v>
      </c>
      <c r="K707" t="s">
        <v>35</v>
      </c>
      <c r="L707">
        <v>59</v>
      </c>
      <c r="M707" t="str">
        <f t="shared" ref="M707:M770" si="11">IF(L707&gt;54,"Old",IF(L707&gt;=31,"Middle aged",IF(L707&lt;31,"Adolescent","invalid")))</f>
        <v>Old</v>
      </c>
      <c r="N707" t="s">
        <v>20</v>
      </c>
    </row>
    <row r="708" spans="1:14">
      <c r="A708">
        <v>20296</v>
      </c>
      <c r="B708" t="s">
        <v>41</v>
      </c>
      <c r="C708" t="s">
        <v>39</v>
      </c>
      <c r="D708" s="7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aged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7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aged</v>
      </c>
      <c r="N709" t="s">
        <v>17</v>
      </c>
    </row>
    <row r="710" spans="1:14">
      <c r="A710">
        <v>18069</v>
      </c>
      <c r="B710" t="s">
        <v>38</v>
      </c>
      <c r="C710" t="s">
        <v>40</v>
      </c>
      <c r="D710" s="7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42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41</v>
      </c>
      <c r="C711" t="s">
        <v>39</v>
      </c>
      <c r="D711" s="7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42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38</v>
      </c>
      <c r="C712" t="s">
        <v>40</v>
      </c>
      <c r="D712" s="7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aged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7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42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7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41</v>
      </c>
      <c r="C715" t="s">
        <v>39</v>
      </c>
      <c r="D715" s="7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aged</v>
      </c>
      <c r="N715" t="s">
        <v>20</v>
      </c>
    </row>
    <row r="716" spans="1:14">
      <c r="A716">
        <v>16020</v>
      </c>
      <c r="B716" t="s">
        <v>38</v>
      </c>
      <c r="C716" t="s">
        <v>40</v>
      </c>
      <c r="D716" s="7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aged</v>
      </c>
      <c r="N717" t="s">
        <v>17</v>
      </c>
    </row>
    <row r="718" spans="1:14">
      <c r="A718">
        <v>27198</v>
      </c>
      <c r="B718" t="s">
        <v>41</v>
      </c>
      <c r="C718" t="s">
        <v>39</v>
      </c>
      <c r="D718" s="7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aged</v>
      </c>
      <c r="N718" t="s">
        <v>20</v>
      </c>
    </row>
    <row r="719" spans="1:14">
      <c r="A719">
        <v>19661</v>
      </c>
      <c r="B719" t="s">
        <v>41</v>
      </c>
      <c r="C719" t="s">
        <v>40</v>
      </c>
      <c r="D719" s="7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aged</v>
      </c>
      <c r="N719" t="s">
        <v>17</v>
      </c>
    </row>
    <row r="720" spans="1:14">
      <c r="A720">
        <v>26327</v>
      </c>
      <c r="B720" t="s">
        <v>38</v>
      </c>
      <c r="C720" t="s">
        <v>40</v>
      </c>
      <c r="D720" s="7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aged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7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aged</v>
      </c>
      <c r="N721" t="s">
        <v>20</v>
      </c>
    </row>
    <row r="722" spans="1:14">
      <c r="A722">
        <v>24958</v>
      </c>
      <c r="B722" t="s">
        <v>41</v>
      </c>
      <c r="C722" t="s">
        <v>39</v>
      </c>
      <c r="D722" s="7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41</v>
      </c>
      <c r="C723" t="s">
        <v>40</v>
      </c>
      <c r="D723" s="7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aged</v>
      </c>
      <c r="N723" t="s">
        <v>17</v>
      </c>
    </row>
    <row r="724" spans="1:14">
      <c r="A724">
        <v>14493</v>
      </c>
      <c r="B724" t="s">
        <v>41</v>
      </c>
      <c r="C724" t="s">
        <v>39</v>
      </c>
      <c r="D724" s="7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aged</v>
      </c>
      <c r="N724" t="s">
        <v>20</v>
      </c>
    </row>
    <row r="725" spans="1:14">
      <c r="A725">
        <v>26678</v>
      </c>
      <c r="B725" t="s">
        <v>41</v>
      </c>
      <c r="C725" t="s">
        <v>39</v>
      </c>
      <c r="D725" s="7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aged</v>
      </c>
      <c r="N725" t="s">
        <v>20</v>
      </c>
    </row>
    <row r="726" spans="1:14">
      <c r="A726">
        <v>23275</v>
      </c>
      <c r="B726" t="s">
        <v>38</v>
      </c>
      <c r="C726" t="s">
        <v>40</v>
      </c>
      <c r="D726" s="7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aged</v>
      </c>
      <c r="N726" t="s">
        <v>20</v>
      </c>
    </row>
    <row r="727" spans="1:14">
      <c r="A727">
        <v>11270</v>
      </c>
      <c r="B727" t="s">
        <v>38</v>
      </c>
      <c r="C727" t="s">
        <v>40</v>
      </c>
      <c r="D727" s="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aged</v>
      </c>
      <c r="N727" t="s">
        <v>17</v>
      </c>
    </row>
    <row r="728" spans="1:14">
      <c r="A728">
        <v>20084</v>
      </c>
      <c r="B728" t="s">
        <v>38</v>
      </c>
      <c r="C728" t="s">
        <v>40</v>
      </c>
      <c r="D728" s="7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aged</v>
      </c>
      <c r="N728" t="s">
        <v>20</v>
      </c>
    </row>
    <row r="729" spans="1:14">
      <c r="A729">
        <v>16144</v>
      </c>
      <c r="B729" t="s">
        <v>38</v>
      </c>
      <c r="C729" t="s">
        <v>40</v>
      </c>
      <c r="D729" s="7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aged</v>
      </c>
      <c r="N729" t="s">
        <v>17</v>
      </c>
    </row>
    <row r="730" spans="1:14">
      <c r="A730">
        <v>27731</v>
      </c>
      <c r="B730" t="s">
        <v>38</v>
      </c>
      <c r="C730" t="s">
        <v>40</v>
      </c>
      <c r="D730" s="7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7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aged</v>
      </c>
      <c r="N731" t="s">
        <v>17</v>
      </c>
    </row>
    <row r="732" spans="1:14">
      <c r="A732">
        <v>24324</v>
      </c>
      <c r="B732" t="s">
        <v>41</v>
      </c>
      <c r="C732" t="s">
        <v>39</v>
      </c>
      <c r="D732" s="7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aged</v>
      </c>
      <c r="N732" t="s">
        <v>17</v>
      </c>
    </row>
    <row r="733" spans="1:14">
      <c r="A733">
        <v>22220</v>
      </c>
      <c r="B733" t="s">
        <v>38</v>
      </c>
      <c r="C733" t="s">
        <v>40</v>
      </c>
      <c r="D733" s="7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aged</v>
      </c>
      <c r="N733" t="s">
        <v>17</v>
      </c>
    </row>
    <row r="734" spans="1:14">
      <c r="A734">
        <v>26625</v>
      </c>
      <c r="B734" t="s">
        <v>41</v>
      </c>
      <c r="C734" t="s">
        <v>39</v>
      </c>
      <c r="D734" s="7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aged</v>
      </c>
      <c r="N734" t="s">
        <v>17</v>
      </c>
    </row>
    <row r="735" spans="1:14">
      <c r="A735">
        <v>23027</v>
      </c>
      <c r="B735" t="s">
        <v>41</v>
      </c>
      <c r="C735" t="s">
        <v>40</v>
      </c>
      <c r="D735" s="7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aged</v>
      </c>
      <c r="N735" t="s">
        <v>20</v>
      </c>
    </row>
    <row r="736" spans="1:14">
      <c r="A736">
        <v>16867</v>
      </c>
      <c r="B736" t="s">
        <v>41</v>
      </c>
      <c r="C736" t="s">
        <v>39</v>
      </c>
      <c r="D736" s="7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aged</v>
      </c>
      <c r="N736" t="s">
        <v>17</v>
      </c>
    </row>
    <row r="737" spans="1:14">
      <c r="A737">
        <v>14514</v>
      </c>
      <c r="B737" t="s">
        <v>41</v>
      </c>
      <c r="C737" t="s">
        <v>39</v>
      </c>
      <c r="D737" s="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38</v>
      </c>
      <c r="C738" t="s">
        <v>40</v>
      </c>
      <c r="D738" s="7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aged</v>
      </c>
      <c r="N738" t="s">
        <v>20</v>
      </c>
    </row>
    <row r="739" spans="1:14">
      <c r="A739">
        <v>18504</v>
      </c>
      <c r="B739" t="s">
        <v>38</v>
      </c>
      <c r="C739" t="s">
        <v>40</v>
      </c>
      <c r="D739" s="7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aged</v>
      </c>
      <c r="N739" t="s">
        <v>20</v>
      </c>
    </row>
    <row r="740" spans="1:14">
      <c r="A740">
        <v>28799</v>
      </c>
      <c r="B740" t="s">
        <v>41</v>
      </c>
      <c r="C740" t="s">
        <v>39</v>
      </c>
      <c r="D740" s="7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aged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7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42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38</v>
      </c>
      <c r="C742" t="s">
        <v>40</v>
      </c>
      <c r="D742" s="7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7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aged</v>
      </c>
      <c r="N743" t="s">
        <v>17</v>
      </c>
    </row>
    <row r="744" spans="1:14">
      <c r="A744">
        <v>14077</v>
      </c>
      <c r="B744" t="s">
        <v>41</v>
      </c>
      <c r="C744" t="s">
        <v>40</v>
      </c>
      <c r="D744" s="7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38</v>
      </c>
      <c r="C745" t="s">
        <v>40</v>
      </c>
      <c r="D745" s="7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aged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7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42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38</v>
      </c>
      <c r="C747" t="s">
        <v>40</v>
      </c>
      <c r="D747" s="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aged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7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42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41</v>
      </c>
      <c r="C749" t="s">
        <v>39</v>
      </c>
      <c r="D749" s="7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aged</v>
      </c>
      <c r="N749" t="s">
        <v>20</v>
      </c>
    </row>
    <row r="750" spans="1:14">
      <c r="A750">
        <v>15412</v>
      </c>
      <c r="B750" t="s">
        <v>38</v>
      </c>
      <c r="C750" t="s">
        <v>40</v>
      </c>
      <c r="D750" s="7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7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38</v>
      </c>
      <c r="C752" t="s">
        <v>40</v>
      </c>
      <c r="D752" s="7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aged</v>
      </c>
      <c r="N752" t="s">
        <v>20</v>
      </c>
    </row>
    <row r="753" spans="1:14">
      <c r="A753">
        <v>11801</v>
      </c>
      <c r="B753" t="s">
        <v>38</v>
      </c>
      <c r="C753" t="s">
        <v>40</v>
      </c>
      <c r="D753" s="7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aged</v>
      </c>
      <c r="N753" t="s">
        <v>20</v>
      </c>
    </row>
    <row r="754" spans="1:14">
      <c r="A754">
        <v>22211</v>
      </c>
      <c r="B754" t="s">
        <v>38</v>
      </c>
      <c r="C754" t="s">
        <v>40</v>
      </c>
      <c r="D754" s="7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aged</v>
      </c>
      <c r="N754" t="s">
        <v>20</v>
      </c>
    </row>
    <row r="755" spans="1:14">
      <c r="A755">
        <v>28087</v>
      </c>
      <c r="B755" t="s">
        <v>41</v>
      </c>
      <c r="C755" t="s">
        <v>39</v>
      </c>
      <c r="D755" s="7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7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38</v>
      </c>
      <c r="C757" t="s">
        <v>40</v>
      </c>
      <c r="D757" s="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aged</v>
      </c>
      <c r="N757" t="s">
        <v>20</v>
      </c>
    </row>
    <row r="758" spans="1:14">
      <c r="A758">
        <v>27261</v>
      </c>
      <c r="B758" t="s">
        <v>38</v>
      </c>
      <c r="C758" t="s">
        <v>40</v>
      </c>
      <c r="D758" s="7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aged</v>
      </c>
      <c r="N758" t="s">
        <v>17</v>
      </c>
    </row>
    <row r="759" spans="1:14">
      <c r="A759">
        <v>18649</v>
      </c>
      <c r="B759" t="s">
        <v>41</v>
      </c>
      <c r="C759" t="s">
        <v>40</v>
      </c>
      <c r="D759" s="7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aged</v>
      </c>
      <c r="N759" t="s">
        <v>17</v>
      </c>
    </row>
    <row r="760" spans="1:14">
      <c r="A760">
        <v>21714</v>
      </c>
      <c r="B760" t="s">
        <v>41</v>
      </c>
      <c r="C760" t="s">
        <v>39</v>
      </c>
      <c r="D760" s="7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aged</v>
      </c>
      <c r="N760" t="s">
        <v>20</v>
      </c>
    </row>
    <row r="761" spans="1:14">
      <c r="A761">
        <v>23217</v>
      </c>
      <c r="B761" t="s">
        <v>41</v>
      </c>
      <c r="C761" t="s">
        <v>39</v>
      </c>
      <c r="D761" s="7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aged</v>
      </c>
      <c r="N761" t="s">
        <v>17</v>
      </c>
    </row>
    <row r="762" spans="1:14">
      <c r="A762">
        <v>23797</v>
      </c>
      <c r="B762" t="s">
        <v>41</v>
      </c>
      <c r="C762" t="s">
        <v>40</v>
      </c>
      <c r="D762" s="7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aged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7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42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41</v>
      </c>
      <c r="C764" t="s">
        <v>40</v>
      </c>
      <c r="D764" s="7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aged</v>
      </c>
      <c r="N764" t="s">
        <v>17</v>
      </c>
    </row>
    <row r="765" spans="1:14">
      <c r="A765">
        <v>12882</v>
      </c>
      <c r="B765" t="s">
        <v>38</v>
      </c>
      <c r="C765" t="s">
        <v>40</v>
      </c>
      <c r="D765" s="7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aged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7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41</v>
      </c>
      <c r="C767" t="s">
        <v>39</v>
      </c>
      <c r="D767" s="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aged</v>
      </c>
      <c r="N767" t="s">
        <v>17</v>
      </c>
    </row>
    <row r="768" spans="1:14">
      <c r="A768">
        <v>14608</v>
      </c>
      <c r="B768" t="s">
        <v>38</v>
      </c>
      <c r="C768" t="s">
        <v>40</v>
      </c>
      <c r="D768" s="7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42</v>
      </c>
      <c r="K768" t="s">
        <v>35</v>
      </c>
      <c r="L768">
        <v>42</v>
      </c>
      <c r="M768" t="str">
        <f t="shared" si="11"/>
        <v>Middle aged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7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7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aged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7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aged",IF(L771&lt;31,"Adolescent","invalid")))</f>
        <v>Middle aged</v>
      </c>
      <c r="N771" t="s">
        <v>20</v>
      </c>
    </row>
    <row r="772" spans="1:14">
      <c r="A772">
        <v>17699</v>
      </c>
      <c r="B772" t="s">
        <v>38</v>
      </c>
      <c r="C772" t="s">
        <v>40</v>
      </c>
      <c r="D772" s="7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38</v>
      </c>
      <c r="C773" t="s">
        <v>40</v>
      </c>
      <c r="D773" s="7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aged</v>
      </c>
      <c r="N773" t="s">
        <v>17</v>
      </c>
    </row>
    <row r="774" spans="1:14">
      <c r="A774">
        <v>11540</v>
      </c>
      <c r="B774" t="s">
        <v>41</v>
      </c>
      <c r="C774" t="s">
        <v>40</v>
      </c>
      <c r="D774" s="7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aged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7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aged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7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aged</v>
      </c>
      <c r="N776" t="s">
        <v>17</v>
      </c>
    </row>
    <row r="777" spans="1:14">
      <c r="A777">
        <v>29030</v>
      </c>
      <c r="B777" t="s">
        <v>38</v>
      </c>
      <c r="C777" t="s">
        <v>40</v>
      </c>
      <c r="D777" s="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42</v>
      </c>
      <c r="K777" t="s">
        <v>35</v>
      </c>
      <c r="L777">
        <v>54</v>
      </c>
      <c r="M777" t="str">
        <f t="shared" si="12"/>
        <v>Middle aged</v>
      </c>
      <c r="N777" t="s">
        <v>20</v>
      </c>
    </row>
    <row r="778" spans="1:14">
      <c r="A778">
        <v>26490</v>
      </c>
      <c r="B778" t="s">
        <v>41</v>
      </c>
      <c r="C778" t="s">
        <v>40</v>
      </c>
      <c r="D778" s="7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41</v>
      </c>
      <c r="C779" t="s">
        <v>40</v>
      </c>
      <c r="D779" s="7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38</v>
      </c>
      <c r="C780" t="s">
        <v>40</v>
      </c>
      <c r="D780" s="7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aged</v>
      </c>
      <c r="N780" t="s">
        <v>20</v>
      </c>
    </row>
    <row r="781" spans="1:14">
      <c r="A781">
        <v>15372</v>
      </c>
      <c r="B781" t="s">
        <v>38</v>
      </c>
      <c r="C781" t="s">
        <v>40</v>
      </c>
      <c r="D781" s="7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aged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7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42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38</v>
      </c>
      <c r="C783" t="s">
        <v>40</v>
      </c>
      <c r="D783" s="7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aged</v>
      </c>
      <c r="N783" t="s">
        <v>20</v>
      </c>
    </row>
    <row r="784" spans="1:14">
      <c r="A784">
        <v>16112</v>
      </c>
      <c r="B784" t="s">
        <v>41</v>
      </c>
      <c r="C784" t="s">
        <v>40</v>
      </c>
      <c r="D784" s="7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aged</v>
      </c>
      <c r="N784" t="s">
        <v>17</v>
      </c>
    </row>
    <row r="785" spans="1:14">
      <c r="A785">
        <v>20698</v>
      </c>
      <c r="B785" t="s">
        <v>38</v>
      </c>
      <c r="C785" t="s">
        <v>40</v>
      </c>
      <c r="D785" s="7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aged</v>
      </c>
      <c r="N785" t="s">
        <v>20</v>
      </c>
    </row>
    <row r="786" spans="1:14">
      <c r="A786">
        <v>20076</v>
      </c>
      <c r="B786" t="s">
        <v>41</v>
      </c>
      <c r="C786" t="s">
        <v>39</v>
      </c>
      <c r="D786" s="7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aged</v>
      </c>
      <c r="N786" t="s">
        <v>17</v>
      </c>
    </row>
    <row r="787" spans="1:14">
      <c r="A787">
        <v>24496</v>
      </c>
      <c r="B787" t="s">
        <v>41</v>
      </c>
      <c r="C787" t="s">
        <v>39</v>
      </c>
      <c r="D787" s="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7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aged</v>
      </c>
      <c r="N788" t="s">
        <v>20</v>
      </c>
    </row>
    <row r="789" spans="1:14">
      <c r="A789">
        <v>28031</v>
      </c>
      <c r="B789" t="s">
        <v>41</v>
      </c>
      <c r="C789" t="s">
        <v>39</v>
      </c>
      <c r="D789" s="7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41</v>
      </c>
      <c r="C790" t="s">
        <v>39</v>
      </c>
      <c r="D790" s="7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aged</v>
      </c>
      <c r="N790" t="s">
        <v>20</v>
      </c>
    </row>
    <row r="791" spans="1:14">
      <c r="A791">
        <v>22221</v>
      </c>
      <c r="B791" t="s">
        <v>38</v>
      </c>
      <c r="C791" t="s">
        <v>40</v>
      </c>
      <c r="D791" s="7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aged</v>
      </c>
      <c r="N791" t="s">
        <v>17</v>
      </c>
    </row>
    <row r="792" spans="1:14">
      <c r="A792">
        <v>28228</v>
      </c>
      <c r="B792" t="s">
        <v>41</v>
      </c>
      <c r="C792" t="s">
        <v>39</v>
      </c>
      <c r="D792" s="7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aged</v>
      </c>
      <c r="N792" t="s">
        <v>20</v>
      </c>
    </row>
    <row r="793" spans="1:14">
      <c r="A793">
        <v>18363</v>
      </c>
      <c r="B793" t="s">
        <v>38</v>
      </c>
      <c r="C793" t="s">
        <v>40</v>
      </c>
      <c r="D793" s="7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41</v>
      </c>
      <c r="C794" t="s">
        <v>40</v>
      </c>
      <c r="D794" s="7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aged</v>
      </c>
      <c r="N794" t="s">
        <v>20</v>
      </c>
    </row>
    <row r="795" spans="1:14">
      <c r="A795">
        <v>12768</v>
      </c>
      <c r="B795" t="s">
        <v>38</v>
      </c>
      <c r="C795" t="s">
        <v>40</v>
      </c>
      <c r="D795" s="7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aged</v>
      </c>
      <c r="N795" t="s">
        <v>17</v>
      </c>
    </row>
    <row r="796" spans="1:14">
      <c r="A796">
        <v>20361</v>
      </c>
      <c r="B796" t="s">
        <v>38</v>
      </c>
      <c r="C796" t="s">
        <v>40</v>
      </c>
      <c r="D796" s="7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41</v>
      </c>
      <c r="C797" t="s">
        <v>40</v>
      </c>
      <c r="D797" s="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aged</v>
      </c>
      <c r="N797" t="s">
        <v>20</v>
      </c>
    </row>
    <row r="798" spans="1:14">
      <c r="A798">
        <v>13382</v>
      </c>
      <c r="B798" t="s">
        <v>38</v>
      </c>
      <c r="C798" t="s">
        <v>40</v>
      </c>
      <c r="D798" s="7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41</v>
      </c>
      <c r="C799" t="s">
        <v>40</v>
      </c>
      <c r="D799" s="7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41</v>
      </c>
      <c r="C800" t="s">
        <v>39</v>
      </c>
      <c r="D800" s="7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41</v>
      </c>
      <c r="C801" t="s">
        <v>39</v>
      </c>
      <c r="D801" s="7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aged</v>
      </c>
      <c r="N801" t="s">
        <v>17</v>
      </c>
    </row>
    <row r="802" spans="1:14">
      <c r="A802">
        <v>15532</v>
      </c>
      <c r="B802" t="s">
        <v>41</v>
      </c>
      <c r="C802" t="s">
        <v>40</v>
      </c>
      <c r="D802" s="7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aged</v>
      </c>
      <c r="N802" t="s">
        <v>17</v>
      </c>
    </row>
    <row r="803" spans="1:14">
      <c r="A803">
        <v>11255</v>
      </c>
      <c r="B803" t="s">
        <v>38</v>
      </c>
      <c r="C803" t="s">
        <v>40</v>
      </c>
      <c r="D803" s="7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38</v>
      </c>
      <c r="C804" t="s">
        <v>40</v>
      </c>
      <c r="D804" s="7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38</v>
      </c>
      <c r="C805" t="s">
        <v>40</v>
      </c>
      <c r="D805" s="7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38</v>
      </c>
      <c r="C806" t="s">
        <v>40</v>
      </c>
      <c r="D806" s="7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41</v>
      </c>
      <c r="C807" t="s">
        <v>39</v>
      </c>
      <c r="D807" s="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aged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7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aged</v>
      </c>
      <c r="N808" t="s">
        <v>20</v>
      </c>
    </row>
    <row r="809" spans="1:14">
      <c r="A809">
        <v>21417</v>
      </c>
      <c r="B809" t="s">
        <v>41</v>
      </c>
      <c r="C809" t="s">
        <v>39</v>
      </c>
      <c r="D809" s="7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aged</v>
      </c>
      <c r="N809" t="s">
        <v>17</v>
      </c>
    </row>
    <row r="810" spans="1:14">
      <c r="A810">
        <v>17668</v>
      </c>
      <c r="B810" t="s">
        <v>41</v>
      </c>
      <c r="C810" t="s">
        <v>40</v>
      </c>
      <c r="D810" s="7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aged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7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41</v>
      </c>
      <c r="C812" t="s">
        <v>39</v>
      </c>
      <c r="D812" s="7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aged</v>
      </c>
      <c r="N812" t="s">
        <v>17</v>
      </c>
    </row>
    <row r="813" spans="1:14">
      <c r="A813">
        <v>25954</v>
      </c>
      <c r="B813" t="s">
        <v>38</v>
      </c>
      <c r="C813" t="s">
        <v>40</v>
      </c>
      <c r="D813" s="7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aged</v>
      </c>
      <c r="N813" t="s">
        <v>20</v>
      </c>
    </row>
    <row r="814" spans="1:14">
      <c r="A814">
        <v>15749</v>
      </c>
      <c r="B814" t="s">
        <v>41</v>
      </c>
      <c r="C814" t="s">
        <v>39</v>
      </c>
      <c r="D814" s="7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42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7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42</v>
      </c>
      <c r="K815" t="s">
        <v>35</v>
      </c>
      <c r="L815">
        <v>53</v>
      </c>
      <c r="M815" t="str">
        <f t="shared" si="12"/>
        <v>Middle aged</v>
      </c>
      <c r="N815" t="s">
        <v>20</v>
      </c>
    </row>
    <row r="816" spans="1:14">
      <c r="A816">
        <v>13351</v>
      </c>
      <c r="B816" t="s">
        <v>41</v>
      </c>
      <c r="C816" t="s">
        <v>39</v>
      </c>
      <c r="D816" s="7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38</v>
      </c>
      <c r="C817" t="s">
        <v>40</v>
      </c>
      <c r="D817" s="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7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aged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7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aged</v>
      </c>
      <c r="N819" t="s">
        <v>17</v>
      </c>
    </row>
    <row r="820" spans="1:14">
      <c r="A820">
        <v>24514</v>
      </c>
      <c r="B820" t="s">
        <v>38</v>
      </c>
      <c r="C820" t="s">
        <v>40</v>
      </c>
      <c r="D820" s="7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41</v>
      </c>
      <c r="C821" t="s">
        <v>39</v>
      </c>
      <c r="D821" s="7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41</v>
      </c>
      <c r="C822" t="s">
        <v>40</v>
      </c>
      <c r="D822" s="7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aged</v>
      </c>
      <c r="N822" t="s">
        <v>20</v>
      </c>
    </row>
    <row r="823" spans="1:14">
      <c r="A823">
        <v>26582</v>
      </c>
      <c r="B823" t="s">
        <v>38</v>
      </c>
      <c r="C823" t="s">
        <v>40</v>
      </c>
      <c r="D823" s="7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aged</v>
      </c>
      <c r="N823" t="s">
        <v>17</v>
      </c>
    </row>
    <row r="824" spans="1:14">
      <c r="A824">
        <v>14271</v>
      </c>
      <c r="B824" t="s">
        <v>38</v>
      </c>
      <c r="C824" t="s">
        <v>40</v>
      </c>
      <c r="D824" s="7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aged</v>
      </c>
      <c r="N824" t="s">
        <v>20</v>
      </c>
    </row>
    <row r="825" spans="1:14">
      <c r="A825">
        <v>23041</v>
      </c>
      <c r="B825" t="s">
        <v>41</v>
      </c>
      <c r="C825" t="s">
        <v>39</v>
      </c>
      <c r="D825" s="7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aged</v>
      </c>
      <c r="N825" t="s">
        <v>17</v>
      </c>
    </row>
    <row r="826" spans="1:14">
      <c r="A826">
        <v>29048</v>
      </c>
      <c r="B826" t="s">
        <v>41</v>
      </c>
      <c r="C826" t="s">
        <v>40</v>
      </c>
      <c r="D826" s="7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aged</v>
      </c>
      <c r="N826" t="s">
        <v>17</v>
      </c>
    </row>
    <row r="827" spans="1:14">
      <c r="A827">
        <v>24433</v>
      </c>
      <c r="B827" t="s">
        <v>38</v>
      </c>
      <c r="C827" t="s">
        <v>40</v>
      </c>
      <c r="D827" s="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aged</v>
      </c>
      <c r="N827" t="s">
        <v>17</v>
      </c>
    </row>
    <row r="828" spans="1:14">
      <c r="A828">
        <v>15501</v>
      </c>
      <c r="B828" t="s">
        <v>38</v>
      </c>
      <c r="C828" t="s">
        <v>40</v>
      </c>
      <c r="D828" s="7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aged</v>
      </c>
      <c r="N828" t="s">
        <v>17</v>
      </c>
    </row>
    <row r="829" spans="1:14">
      <c r="A829">
        <v>13911</v>
      </c>
      <c r="B829" t="s">
        <v>41</v>
      </c>
      <c r="C829" t="s">
        <v>39</v>
      </c>
      <c r="D829" s="7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aged</v>
      </c>
      <c r="N829" t="s">
        <v>17</v>
      </c>
    </row>
    <row r="830" spans="1:14">
      <c r="A830">
        <v>20421</v>
      </c>
      <c r="B830" t="s">
        <v>41</v>
      </c>
      <c r="C830" t="s">
        <v>39</v>
      </c>
      <c r="D830" s="7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41</v>
      </c>
      <c r="C831" t="s">
        <v>40</v>
      </c>
      <c r="D831" s="7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38</v>
      </c>
      <c r="C832" t="s">
        <v>40</v>
      </c>
      <c r="D832" s="7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aged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7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aged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7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aged</v>
      </c>
      <c r="N834" t="s">
        <v>20</v>
      </c>
    </row>
    <row r="835" spans="1:14">
      <c r="A835">
        <v>27540</v>
      </c>
      <c r="B835" t="s">
        <v>41</v>
      </c>
      <c r="C835" t="s">
        <v>39</v>
      </c>
      <c r="D835" s="7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aged",IF(L835&lt;31,"Adolescent","invalid")))</f>
        <v>Middle aged</v>
      </c>
      <c r="N835" t="s">
        <v>17</v>
      </c>
    </row>
    <row r="836" spans="1:14">
      <c r="A836">
        <v>19889</v>
      </c>
      <c r="B836" t="s">
        <v>41</v>
      </c>
      <c r="C836" t="s">
        <v>39</v>
      </c>
      <c r="D836" s="7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aged</v>
      </c>
      <c r="N836" t="s">
        <v>17</v>
      </c>
    </row>
    <row r="837" spans="1:14">
      <c r="A837">
        <v>12922</v>
      </c>
      <c r="B837" t="s">
        <v>41</v>
      </c>
      <c r="C837" t="s">
        <v>39</v>
      </c>
      <c r="D837" s="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aged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7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38</v>
      </c>
      <c r="C839" t="s">
        <v>40</v>
      </c>
      <c r="D839" s="7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aged</v>
      </c>
      <c r="N839" t="s">
        <v>20</v>
      </c>
    </row>
    <row r="840" spans="1:14">
      <c r="A840">
        <v>19143</v>
      </c>
      <c r="B840" t="s">
        <v>41</v>
      </c>
      <c r="C840" t="s">
        <v>39</v>
      </c>
      <c r="D840" s="7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aged</v>
      </c>
      <c r="N840" t="s">
        <v>17</v>
      </c>
    </row>
    <row r="841" spans="1:14">
      <c r="A841">
        <v>23882</v>
      </c>
      <c r="B841" t="s">
        <v>41</v>
      </c>
      <c r="C841" t="s">
        <v>39</v>
      </c>
      <c r="D841" s="7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aged</v>
      </c>
      <c r="N841" t="s">
        <v>17</v>
      </c>
    </row>
    <row r="842" spans="1:14">
      <c r="A842">
        <v>11233</v>
      </c>
      <c r="B842" t="s">
        <v>38</v>
      </c>
      <c r="C842" t="s">
        <v>40</v>
      </c>
      <c r="D842" s="7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42</v>
      </c>
      <c r="K842" t="s">
        <v>35</v>
      </c>
      <c r="L842">
        <v>53</v>
      </c>
      <c r="M842" t="str">
        <f t="shared" si="13"/>
        <v>Middle aged</v>
      </c>
      <c r="N842" t="s">
        <v>20</v>
      </c>
    </row>
    <row r="843" spans="1:14">
      <c r="A843">
        <v>12056</v>
      </c>
      <c r="B843" t="s">
        <v>38</v>
      </c>
      <c r="C843" t="s">
        <v>40</v>
      </c>
      <c r="D843" s="7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7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aged</v>
      </c>
      <c r="N844" t="s">
        <v>17</v>
      </c>
    </row>
    <row r="845" spans="1:14">
      <c r="A845">
        <v>18423</v>
      </c>
      <c r="B845" t="s">
        <v>41</v>
      </c>
      <c r="C845" t="s">
        <v>40</v>
      </c>
      <c r="D845" s="7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aged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7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42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41</v>
      </c>
      <c r="C847" t="s">
        <v>39</v>
      </c>
      <c r="D847" s="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aged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7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41</v>
      </c>
      <c r="C849" t="s">
        <v>39</v>
      </c>
      <c r="D849" s="7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41</v>
      </c>
      <c r="C850" t="s">
        <v>40</v>
      </c>
      <c r="D850" s="7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aged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7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41</v>
      </c>
      <c r="C852" t="s">
        <v>39</v>
      </c>
      <c r="D852" s="7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38</v>
      </c>
      <c r="C853" t="s">
        <v>40</v>
      </c>
      <c r="D853" s="7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aged</v>
      </c>
      <c r="N853" t="s">
        <v>17</v>
      </c>
    </row>
    <row r="854" spans="1:14">
      <c r="A854">
        <v>21613</v>
      </c>
      <c r="B854" t="s">
        <v>41</v>
      </c>
      <c r="C854" t="s">
        <v>40</v>
      </c>
      <c r="D854" s="7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aged</v>
      </c>
      <c r="N854" t="s">
        <v>17</v>
      </c>
    </row>
    <row r="855" spans="1:14">
      <c r="A855">
        <v>24801</v>
      </c>
      <c r="B855" t="s">
        <v>41</v>
      </c>
      <c r="C855" t="s">
        <v>40</v>
      </c>
      <c r="D855" s="7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aged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7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aged</v>
      </c>
      <c r="N856" t="s">
        <v>20</v>
      </c>
    </row>
    <row r="857" spans="1:14">
      <c r="A857">
        <v>18347</v>
      </c>
      <c r="B857" t="s">
        <v>41</v>
      </c>
      <c r="C857" t="s">
        <v>39</v>
      </c>
      <c r="D857" s="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aged</v>
      </c>
      <c r="N857" t="s">
        <v>20</v>
      </c>
    </row>
    <row r="858" spans="1:14">
      <c r="A858">
        <v>29052</v>
      </c>
      <c r="B858" t="s">
        <v>41</v>
      </c>
      <c r="C858" t="s">
        <v>40</v>
      </c>
      <c r="D858" s="7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7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aged</v>
      </c>
      <c r="N859" t="s">
        <v>17</v>
      </c>
    </row>
    <row r="860" spans="1:14">
      <c r="A860">
        <v>19147</v>
      </c>
      <c r="B860" t="s">
        <v>38</v>
      </c>
      <c r="C860" t="s">
        <v>40</v>
      </c>
      <c r="D860" s="7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aged</v>
      </c>
      <c r="N860" t="s">
        <v>20</v>
      </c>
    </row>
    <row r="861" spans="1:14">
      <c r="A861">
        <v>19217</v>
      </c>
      <c r="B861" t="s">
        <v>38</v>
      </c>
      <c r="C861" t="s">
        <v>40</v>
      </c>
      <c r="D861" s="7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aged</v>
      </c>
      <c r="N861" t="s">
        <v>20</v>
      </c>
    </row>
    <row r="862" spans="1:14">
      <c r="A862">
        <v>15839</v>
      </c>
      <c r="B862" t="s">
        <v>41</v>
      </c>
      <c r="C862" t="s">
        <v>40</v>
      </c>
      <c r="D862" s="7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aged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7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aged</v>
      </c>
      <c r="N863" t="s">
        <v>17</v>
      </c>
    </row>
    <row r="864" spans="1:14">
      <c r="A864">
        <v>22330</v>
      </c>
      <c r="B864" t="s">
        <v>38</v>
      </c>
      <c r="C864" t="s">
        <v>40</v>
      </c>
      <c r="D864" s="7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aged</v>
      </c>
      <c r="N864" t="s">
        <v>17</v>
      </c>
    </row>
    <row r="865" spans="1:14">
      <c r="A865">
        <v>18783</v>
      </c>
      <c r="B865" t="s">
        <v>41</v>
      </c>
      <c r="C865" t="s">
        <v>40</v>
      </c>
      <c r="D865" s="7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aged</v>
      </c>
      <c r="N865" t="s">
        <v>17</v>
      </c>
    </row>
    <row r="866" spans="1:14">
      <c r="A866">
        <v>25041</v>
      </c>
      <c r="B866" t="s">
        <v>41</v>
      </c>
      <c r="C866" t="s">
        <v>40</v>
      </c>
      <c r="D866" s="7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aged</v>
      </c>
      <c r="N866" t="s">
        <v>20</v>
      </c>
    </row>
    <row r="867" spans="1:14">
      <c r="A867">
        <v>22046</v>
      </c>
      <c r="B867" t="s">
        <v>41</v>
      </c>
      <c r="C867" t="s">
        <v>39</v>
      </c>
      <c r="D867" s="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aged</v>
      </c>
      <c r="N867" t="s">
        <v>17</v>
      </c>
    </row>
    <row r="868" spans="1:14">
      <c r="A868">
        <v>28052</v>
      </c>
      <c r="B868" t="s">
        <v>38</v>
      </c>
      <c r="C868" t="s">
        <v>40</v>
      </c>
      <c r="D868" s="7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42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38</v>
      </c>
      <c r="C869" t="s">
        <v>40</v>
      </c>
      <c r="D869" s="7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aged</v>
      </c>
      <c r="N869" t="s">
        <v>20</v>
      </c>
    </row>
    <row r="870" spans="1:14">
      <c r="A870">
        <v>24955</v>
      </c>
      <c r="B870" t="s">
        <v>41</v>
      </c>
      <c r="C870" t="s">
        <v>40</v>
      </c>
      <c r="D870" s="7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42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41</v>
      </c>
      <c r="C871" t="s">
        <v>39</v>
      </c>
      <c r="D871" s="7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aged</v>
      </c>
      <c r="N871" t="s">
        <v>20</v>
      </c>
    </row>
    <row r="872" spans="1:14">
      <c r="A872">
        <v>13942</v>
      </c>
      <c r="B872" t="s">
        <v>38</v>
      </c>
      <c r="C872" t="s">
        <v>40</v>
      </c>
      <c r="D872" s="7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aged</v>
      </c>
      <c r="N872" t="s">
        <v>20</v>
      </c>
    </row>
    <row r="873" spans="1:14">
      <c r="A873">
        <v>11219</v>
      </c>
      <c r="B873" t="s">
        <v>38</v>
      </c>
      <c r="C873" t="s">
        <v>40</v>
      </c>
      <c r="D873" s="7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42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41</v>
      </c>
      <c r="C874" t="s">
        <v>39</v>
      </c>
      <c r="D874" s="7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aged</v>
      </c>
      <c r="N874" t="s">
        <v>17</v>
      </c>
    </row>
    <row r="875" spans="1:14">
      <c r="A875">
        <v>23197</v>
      </c>
      <c r="B875" t="s">
        <v>38</v>
      </c>
      <c r="C875" t="s">
        <v>40</v>
      </c>
      <c r="D875" s="7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aged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7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aged</v>
      </c>
      <c r="N876" t="s">
        <v>17</v>
      </c>
    </row>
    <row r="877" spans="1:14">
      <c r="A877">
        <v>27279</v>
      </c>
      <c r="B877" t="s">
        <v>41</v>
      </c>
      <c r="C877" t="s">
        <v>39</v>
      </c>
      <c r="D877" s="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aged</v>
      </c>
      <c r="N877" t="s">
        <v>17</v>
      </c>
    </row>
    <row r="878" spans="1:14">
      <c r="A878">
        <v>18322</v>
      </c>
      <c r="B878" t="s">
        <v>41</v>
      </c>
      <c r="C878" t="s">
        <v>40</v>
      </c>
      <c r="D878" s="7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38</v>
      </c>
      <c r="C879" t="s">
        <v>40</v>
      </c>
      <c r="D879" s="7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38</v>
      </c>
      <c r="C880" t="s">
        <v>40</v>
      </c>
      <c r="D880" s="7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38</v>
      </c>
      <c r="C881" t="s">
        <v>40</v>
      </c>
      <c r="D881" s="7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aged</v>
      </c>
      <c r="N881" t="s">
        <v>20</v>
      </c>
    </row>
    <row r="882" spans="1:14">
      <c r="A882">
        <v>28066</v>
      </c>
      <c r="B882" t="s">
        <v>38</v>
      </c>
      <c r="C882" t="s">
        <v>40</v>
      </c>
      <c r="D882" s="7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aged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7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38</v>
      </c>
      <c r="C884" t="s">
        <v>40</v>
      </c>
      <c r="D884" s="7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aged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7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aged</v>
      </c>
      <c r="N885" t="s">
        <v>17</v>
      </c>
    </row>
    <row r="886" spans="1:14">
      <c r="A886">
        <v>19731</v>
      </c>
      <c r="B886" t="s">
        <v>38</v>
      </c>
      <c r="C886" t="s">
        <v>40</v>
      </c>
      <c r="D886" s="7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aged</v>
      </c>
      <c r="N887" t="s">
        <v>20</v>
      </c>
    </row>
    <row r="888" spans="1:14">
      <c r="A888">
        <v>11807</v>
      </c>
      <c r="B888" t="s">
        <v>38</v>
      </c>
      <c r="C888" t="s">
        <v>40</v>
      </c>
      <c r="D888" s="7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aged</v>
      </c>
      <c r="N888" t="s">
        <v>20</v>
      </c>
    </row>
    <row r="889" spans="1:14">
      <c r="A889">
        <v>11622</v>
      </c>
      <c r="B889" t="s">
        <v>38</v>
      </c>
      <c r="C889" t="s">
        <v>40</v>
      </c>
      <c r="D889" s="7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aged</v>
      </c>
      <c r="N889" t="s">
        <v>20</v>
      </c>
    </row>
    <row r="890" spans="1:14">
      <c r="A890">
        <v>26597</v>
      </c>
      <c r="B890" t="s">
        <v>41</v>
      </c>
      <c r="C890" t="s">
        <v>39</v>
      </c>
      <c r="D890" s="7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aged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7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aged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7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aged</v>
      </c>
      <c r="N892" t="s">
        <v>20</v>
      </c>
    </row>
    <row r="893" spans="1:14">
      <c r="A893">
        <v>13415</v>
      </c>
      <c r="B893" t="s">
        <v>41</v>
      </c>
      <c r="C893" t="s">
        <v>40</v>
      </c>
      <c r="D893" s="7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41</v>
      </c>
      <c r="C894" t="s">
        <v>39</v>
      </c>
      <c r="D894" s="7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aged</v>
      </c>
      <c r="N894" t="s">
        <v>17</v>
      </c>
    </row>
    <row r="895" spans="1:14">
      <c r="A895">
        <v>14569</v>
      </c>
      <c r="B895" t="s">
        <v>38</v>
      </c>
      <c r="C895" t="s">
        <v>40</v>
      </c>
      <c r="D895" s="7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aged</v>
      </c>
      <c r="N895" t="s">
        <v>20</v>
      </c>
    </row>
    <row r="896" spans="1:14">
      <c r="A896">
        <v>13873</v>
      </c>
      <c r="B896" t="s">
        <v>38</v>
      </c>
      <c r="C896" t="s">
        <v>40</v>
      </c>
      <c r="D896" s="7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aged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7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aged</v>
      </c>
      <c r="N898" t="s">
        <v>17</v>
      </c>
    </row>
    <row r="899" spans="1:14">
      <c r="A899">
        <v>12029</v>
      </c>
      <c r="B899" t="s">
        <v>38</v>
      </c>
      <c r="C899" t="s">
        <v>40</v>
      </c>
      <c r="D899" s="7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aged",IF(L899&lt;31,"Adolescent","invalid")))</f>
        <v>Adolescent</v>
      </c>
      <c r="N899" t="s">
        <v>20</v>
      </c>
    </row>
    <row r="900" spans="1:14">
      <c r="A900">
        <v>18066</v>
      </c>
      <c r="B900" t="s">
        <v>41</v>
      </c>
      <c r="C900" t="s">
        <v>40</v>
      </c>
      <c r="D900" s="7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42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7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42</v>
      </c>
      <c r="K901" t="s">
        <v>35</v>
      </c>
      <c r="L901">
        <v>46</v>
      </c>
      <c r="M901" t="str">
        <f t="shared" si="14"/>
        <v>Middle aged</v>
      </c>
      <c r="N901" t="s">
        <v>20</v>
      </c>
    </row>
    <row r="902" spans="1:14">
      <c r="A902">
        <v>16122</v>
      </c>
      <c r="B902" t="s">
        <v>38</v>
      </c>
      <c r="C902" t="s">
        <v>40</v>
      </c>
      <c r="D902" s="7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aged</v>
      </c>
      <c r="N902" t="s">
        <v>17</v>
      </c>
    </row>
    <row r="903" spans="1:14">
      <c r="A903">
        <v>18607</v>
      </c>
      <c r="B903" t="s">
        <v>41</v>
      </c>
      <c r="C903" t="s">
        <v>39</v>
      </c>
      <c r="D903" s="7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aged</v>
      </c>
      <c r="N903" t="s">
        <v>17</v>
      </c>
    </row>
    <row r="904" spans="1:14">
      <c r="A904">
        <v>28858</v>
      </c>
      <c r="B904" t="s">
        <v>41</v>
      </c>
      <c r="C904" t="s">
        <v>40</v>
      </c>
      <c r="D904" s="7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aged</v>
      </c>
      <c r="N904" t="s">
        <v>20</v>
      </c>
    </row>
    <row r="905" spans="1:14">
      <c r="A905">
        <v>14432</v>
      </c>
      <c r="B905" t="s">
        <v>41</v>
      </c>
      <c r="C905" t="s">
        <v>40</v>
      </c>
      <c r="D905" s="7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41</v>
      </c>
      <c r="C906" t="s">
        <v>39</v>
      </c>
      <c r="D906" s="7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aged</v>
      </c>
      <c r="N906" t="s">
        <v>17</v>
      </c>
    </row>
    <row r="907" spans="1:14">
      <c r="A907">
        <v>22050</v>
      </c>
      <c r="B907" t="s">
        <v>41</v>
      </c>
      <c r="C907" t="s">
        <v>40</v>
      </c>
      <c r="D907" s="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aged</v>
      </c>
      <c r="N907" t="s">
        <v>17</v>
      </c>
    </row>
    <row r="908" spans="1:14">
      <c r="A908">
        <v>25394</v>
      </c>
      <c r="B908" t="s">
        <v>38</v>
      </c>
      <c r="C908" t="s">
        <v>40</v>
      </c>
      <c r="D908" s="7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aged</v>
      </c>
      <c r="N908" t="s">
        <v>17</v>
      </c>
    </row>
    <row r="909" spans="1:14">
      <c r="A909">
        <v>19747</v>
      </c>
      <c r="B909" t="s">
        <v>38</v>
      </c>
      <c r="C909" t="s">
        <v>40</v>
      </c>
      <c r="D909" s="7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42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41</v>
      </c>
      <c r="C910" t="s">
        <v>40</v>
      </c>
      <c r="D910" s="7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aged</v>
      </c>
      <c r="N910" t="s">
        <v>17</v>
      </c>
    </row>
    <row r="911" spans="1:14">
      <c r="A911">
        <v>21695</v>
      </c>
      <c r="B911" t="s">
        <v>38</v>
      </c>
      <c r="C911" t="s">
        <v>40</v>
      </c>
      <c r="D911" s="7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aged</v>
      </c>
      <c r="N911" t="s">
        <v>17</v>
      </c>
    </row>
    <row r="912" spans="1:14">
      <c r="A912">
        <v>13934</v>
      </c>
      <c r="B912" t="s">
        <v>38</v>
      </c>
      <c r="C912" t="s">
        <v>40</v>
      </c>
      <c r="D912" s="7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aged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7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7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aged</v>
      </c>
      <c r="N914" t="s">
        <v>20</v>
      </c>
    </row>
    <row r="915" spans="1:14">
      <c r="A915">
        <v>28657</v>
      </c>
      <c r="B915" t="s">
        <v>41</v>
      </c>
      <c r="C915" t="s">
        <v>40</v>
      </c>
      <c r="D915" s="7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aged</v>
      </c>
      <c r="N915" t="s">
        <v>17</v>
      </c>
    </row>
    <row r="916" spans="1:14">
      <c r="A916">
        <v>21713</v>
      </c>
      <c r="B916" t="s">
        <v>41</v>
      </c>
      <c r="C916" t="s">
        <v>40</v>
      </c>
      <c r="D916" s="7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aged</v>
      </c>
      <c r="N916" t="s">
        <v>20</v>
      </c>
    </row>
    <row r="917" spans="1:14">
      <c r="A917">
        <v>21752</v>
      </c>
      <c r="B917" t="s">
        <v>38</v>
      </c>
      <c r="C917" t="s">
        <v>40</v>
      </c>
      <c r="D917" s="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42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41</v>
      </c>
      <c r="C918" t="s">
        <v>40</v>
      </c>
      <c r="D918" s="7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aged</v>
      </c>
      <c r="N918" t="s">
        <v>17</v>
      </c>
    </row>
    <row r="919" spans="1:14">
      <c r="A919">
        <v>22719</v>
      </c>
      <c r="B919" t="s">
        <v>41</v>
      </c>
      <c r="C919" t="s">
        <v>40</v>
      </c>
      <c r="D919" s="7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aged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7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aged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7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42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38</v>
      </c>
      <c r="C922" t="s">
        <v>40</v>
      </c>
      <c r="D922" s="7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aged</v>
      </c>
      <c r="N922" t="s">
        <v>20</v>
      </c>
    </row>
    <row r="923" spans="1:14">
      <c r="A923">
        <v>12153</v>
      </c>
      <c r="B923" t="s">
        <v>41</v>
      </c>
      <c r="C923" t="s">
        <v>39</v>
      </c>
      <c r="D923" s="7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aged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7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aged</v>
      </c>
      <c r="N924" t="s">
        <v>17</v>
      </c>
    </row>
    <row r="925" spans="1:14">
      <c r="A925">
        <v>26728</v>
      </c>
      <c r="B925" t="s">
        <v>41</v>
      </c>
      <c r="C925" t="s">
        <v>40</v>
      </c>
      <c r="D925" s="7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aged</v>
      </c>
      <c r="N925" t="s">
        <v>17</v>
      </c>
    </row>
    <row r="926" spans="1:14">
      <c r="A926">
        <v>11090</v>
      </c>
      <c r="B926" t="s">
        <v>41</v>
      </c>
      <c r="C926" t="s">
        <v>40</v>
      </c>
      <c r="D926" s="7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aged</v>
      </c>
      <c r="N926" t="s">
        <v>17</v>
      </c>
    </row>
    <row r="927" spans="1:14">
      <c r="A927">
        <v>15862</v>
      </c>
      <c r="B927" t="s">
        <v>41</v>
      </c>
      <c r="C927" t="s">
        <v>39</v>
      </c>
      <c r="D927" s="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aged</v>
      </c>
      <c r="N927" t="s">
        <v>17</v>
      </c>
    </row>
    <row r="928" spans="1:14">
      <c r="A928">
        <v>26495</v>
      </c>
      <c r="B928" t="s">
        <v>41</v>
      </c>
      <c r="C928" t="s">
        <v>39</v>
      </c>
      <c r="D928" s="7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42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7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aged</v>
      </c>
      <c r="N929" t="s">
        <v>20</v>
      </c>
    </row>
    <row r="930" spans="1:14">
      <c r="A930">
        <v>23449</v>
      </c>
      <c r="B930" t="s">
        <v>38</v>
      </c>
      <c r="C930" t="s">
        <v>40</v>
      </c>
      <c r="D930" s="7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aged</v>
      </c>
      <c r="N930" t="s">
        <v>20</v>
      </c>
    </row>
    <row r="931" spans="1:14">
      <c r="A931">
        <v>23459</v>
      </c>
      <c r="B931" t="s">
        <v>38</v>
      </c>
      <c r="C931" t="s">
        <v>40</v>
      </c>
      <c r="D931" s="7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aged</v>
      </c>
      <c r="N931" t="s">
        <v>20</v>
      </c>
    </row>
    <row r="932" spans="1:14">
      <c r="A932">
        <v>19543</v>
      </c>
      <c r="B932" t="s">
        <v>38</v>
      </c>
      <c r="C932" t="s">
        <v>40</v>
      </c>
      <c r="D932" s="7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42</v>
      </c>
      <c r="K932" t="s">
        <v>35</v>
      </c>
      <c r="L932">
        <v>47</v>
      </c>
      <c r="M932" t="str">
        <f t="shared" si="14"/>
        <v>Middle aged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7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aged</v>
      </c>
      <c r="N933" t="s">
        <v>17</v>
      </c>
    </row>
    <row r="934" spans="1:14">
      <c r="A934">
        <v>12033</v>
      </c>
      <c r="B934" t="s">
        <v>41</v>
      </c>
      <c r="C934" t="s">
        <v>39</v>
      </c>
      <c r="D934" s="7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41</v>
      </c>
      <c r="C935" t="s">
        <v>40</v>
      </c>
      <c r="D935" s="7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38</v>
      </c>
      <c r="C936" t="s">
        <v>40</v>
      </c>
      <c r="D936" s="7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aged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7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38</v>
      </c>
      <c r="C939" t="s">
        <v>40</v>
      </c>
      <c r="D939" s="7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aged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7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41</v>
      </c>
      <c r="C941" t="s">
        <v>40</v>
      </c>
      <c r="D941" s="7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aged</v>
      </c>
      <c r="N941" t="s">
        <v>20</v>
      </c>
    </row>
    <row r="942" spans="1:14">
      <c r="A942">
        <v>15292</v>
      </c>
      <c r="B942" t="s">
        <v>41</v>
      </c>
      <c r="C942" t="s">
        <v>39</v>
      </c>
      <c r="D942" s="7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aged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7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aged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7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aged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7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aged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7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aged</v>
      </c>
      <c r="N946" t="s">
        <v>17</v>
      </c>
    </row>
    <row r="947" spans="1:14">
      <c r="A947">
        <v>25419</v>
      </c>
      <c r="B947" t="s">
        <v>41</v>
      </c>
      <c r="C947" t="s">
        <v>40</v>
      </c>
      <c r="D947" s="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aged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7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41</v>
      </c>
      <c r="C949" t="s">
        <v>39</v>
      </c>
      <c r="D949" s="7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aged</v>
      </c>
      <c r="N949" t="s">
        <v>17</v>
      </c>
    </row>
    <row r="950" spans="1:14">
      <c r="A950">
        <v>21693</v>
      </c>
      <c r="B950" t="s">
        <v>41</v>
      </c>
      <c r="C950" t="s">
        <v>39</v>
      </c>
      <c r="D950" s="7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aged</v>
      </c>
      <c r="N950" t="s">
        <v>20</v>
      </c>
    </row>
    <row r="951" spans="1:14">
      <c r="A951">
        <v>28056</v>
      </c>
      <c r="B951" t="s">
        <v>38</v>
      </c>
      <c r="C951" t="s">
        <v>40</v>
      </c>
      <c r="D951" s="7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42</v>
      </c>
      <c r="K951" t="s">
        <v>35</v>
      </c>
      <c r="L951">
        <v>53</v>
      </c>
      <c r="M951" t="str">
        <f t="shared" si="14"/>
        <v>Middle aged</v>
      </c>
      <c r="N951" t="s">
        <v>20</v>
      </c>
    </row>
    <row r="952" spans="1:14">
      <c r="A952">
        <v>11788</v>
      </c>
      <c r="B952" t="s">
        <v>41</v>
      </c>
      <c r="C952" t="s">
        <v>39</v>
      </c>
      <c r="D952" s="7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aged</v>
      </c>
      <c r="N952" t="s">
        <v>20</v>
      </c>
    </row>
    <row r="953" spans="1:14">
      <c r="A953">
        <v>22296</v>
      </c>
      <c r="B953" t="s">
        <v>38</v>
      </c>
      <c r="C953" t="s">
        <v>40</v>
      </c>
      <c r="D953" s="7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aged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7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41</v>
      </c>
      <c r="C955" t="s">
        <v>39</v>
      </c>
      <c r="D955" s="7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38</v>
      </c>
      <c r="C956" t="s">
        <v>40</v>
      </c>
      <c r="D956" s="7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aged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aged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7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aged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7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38</v>
      </c>
      <c r="C960" t="s">
        <v>40</v>
      </c>
      <c r="D960" s="7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aged</v>
      </c>
      <c r="N960" t="s">
        <v>17</v>
      </c>
    </row>
    <row r="961" spans="1:14">
      <c r="A961">
        <v>20196</v>
      </c>
      <c r="B961" t="s">
        <v>38</v>
      </c>
      <c r="C961" t="s">
        <v>40</v>
      </c>
      <c r="D961" s="7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aged</v>
      </c>
      <c r="N961" t="s">
        <v>17</v>
      </c>
    </row>
    <row r="962" spans="1:14">
      <c r="A962">
        <v>23491</v>
      </c>
      <c r="B962" t="s">
        <v>41</v>
      </c>
      <c r="C962" t="s">
        <v>40</v>
      </c>
      <c r="D962" s="7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aged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7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aged",IF(L963&lt;31,"Adolescent","invalid")))</f>
        <v>Old</v>
      </c>
      <c r="N963" t="s">
        <v>20</v>
      </c>
    </row>
    <row r="964" spans="1:14">
      <c r="A964">
        <v>16813</v>
      </c>
      <c r="B964" t="s">
        <v>38</v>
      </c>
      <c r="C964" t="s">
        <v>40</v>
      </c>
      <c r="D964" s="7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42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7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41</v>
      </c>
      <c r="C966" t="s">
        <v>40</v>
      </c>
      <c r="D966" s="7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42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41</v>
      </c>
      <c r="C967" t="s">
        <v>39</v>
      </c>
      <c r="D967" s="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aged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7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aged</v>
      </c>
      <c r="N968" t="s">
        <v>17</v>
      </c>
    </row>
    <row r="969" spans="1:14">
      <c r="A969">
        <v>19012</v>
      </c>
      <c r="B969" t="s">
        <v>38</v>
      </c>
      <c r="C969" t="s">
        <v>40</v>
      </c>
      <c r="D969" s="7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41</v>
      </c>
      <c r="C970" t="s">
        <v>40</v>
      </c>
      <c r="D970" s="7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38</v>
      </c>
      <c r="C971" t="s">
        <v>40</v>
      </c>
      <c r="D971" s="7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aged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7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aged</v>
      </c>
      <c r="N972" t="s">
        <v>20</v>
      </c>
    </row>
    <row r="973" spans="1:14">
      <c r="A973">
        <v>12192</v>
      </c>
      <c r="B973" t="s">
        <v>41</v>
      </c>
      <c r="C973" t="s">
        <v>39</v>
      </c>
      <c r="D973" s="7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aged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7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aged</v>
      </c>
      <c r="N974" t="s">
        <v>20</v>
      </c>
    </row>
    <row r="975" spans="1:14">
      <c r="A975">
        <v>11734</v>
      </c>
      <c r="B975" t="s">
        <v>38</v>
      </c>
      <c r="C975" t="s">
        <v>40</v>
      </c>
      <c r="D975" s="7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aged</v>
      </c>
      <c r="N975" t="s">
        <v>20</v>
      </c>
    </row>
    <row r="976" spans="1:14">
      <c r="A976">
        <v>17462</v>
      </c>
      <c r="B976" t="s">
        <v>38</v>
      </c>
      <c r="C976" t="s">
        <v>40</v>
      </c>
      <c r="D976" s="7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aged</v>
      </c>
      <c r="N976" t="s">
        <v>17</v>
      </c>
    </row>
    <row r="977" spans="1:14">
      <c r="A977">
        <v>20659</v>
      </c>
      <c r="B977" t="s">
        <v>38</v>
      </c>
      <c r="C977" t="s">
        <v>40</v>
      </c>
      <c r="D977" s="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aged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7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42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41</v>
      </c>
      <c r="C979" t="s">
        <v>39</v>
      </c>
      <c r="D979" s="7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38</v>
      </c>
      <c r="C980" t="s">
        <v>40</v>
      </c>
      <c r="D980" s="7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aged</v>
      </c>
      <c r="N980" t="s">
        <v>20</v>
      </c>
    </row>
    <row r="981" spans="1:14">
      <c r="A981">
        <v>17337</v>
      </c>
      <c r="B981" t="s">
        <v>41</v>
      </c>
      <c r="C981" t="s">
        <v>40</v>
      </c>
      <c r="D981" s="7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aged</v>
      </c>
      <c r="N981" t="s">
        <v>20</v>
      </c>
    </row>
    <row r="982" spans="1:14">
      <c r="A982">
        <v>18594</v>
      </c>
      <c r="B982" t="s">
        <v>41</v>
      </c>
      <c r="C982" t="s">
        <v>39</v>
      </c>
      <c r="D982" s="7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42</v>
      </c>
      <c r="K982" t="s">
        <v>35</v>
      </c>
      <c r="L982">
        <v>40</v>
      </c>
      <c r="M982" t="str">
        <f t="shared" si="15"/>
        <v>Middle aged</v>
      </c>
      <c r="N982" t="s">
        <v>17</v>
      </c>
    </row>
    <row r="983" spans="1:14">
      <c r="A983">
        <v>15982</v>
      </c>
      <c r="B983" t="s">
        <v>38</v>
      </c>
      <c r="C983" t="s">
        <v>40</v>
      </c>
      <c r="D983" s="7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aged</v>
      </c>
      <c r="N983" t="s">
        <v>20</v>
      </c>
    </row>
    <row r="984" spans="1:14">
      <c r="A984">
        <v>28625</v>
      </c>
      <c r="B984" t="s">
        <v>41</v>
      </c>
      <c r="C984" t="s">
        <v>40</v>
      </c>
      <c r="D984" s="7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aged</v>
      </c>
      <c r="N984" t="s">
        <v>17</v>
      </c>
    </row>
    <row r="985" spans="1:14">
      <c r="A985">
        <v>11269</v>
      </c>
      <c r="B985" t="s">
        <v>38</v>
      </c>
      <c r="C985" t="s">
        <v>40</v>
      </c>
      <c r="D985" s="7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aged</v>
      </c>
      <c r="N985" t="s">
        <v>20</v>
      </c>
    </row>
    <row r="986" spans="1:14">
      <c r="A986">
        <v>25148</v>
      </c>
      <c r="B986" t="s">
        <v>38</v>
      </c>
      <c r="C986" t="s">
        <v>40</v>
      </c>
      <c r="D986" s="7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aged</v>
      </c>
      <c r="N986" t="s">
        <v>17</v>
      </c>
    </row>
    <row r="987" spans="1:14">
      <c r="A987">
        <v>13920</v>
      </c>
      <c r="B987" t="s">
        <v>41</v>
      </c>
      <c r="C987" t="s">
        <v>39</v>
      </c>
      <c r="D987" s="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aged</v>
      </c>
      <c r="N987" t="s">
        <v>20</v>
      </c>
    </row>
    <row r="988" spans="1:14">
      <c r="A988">
        <v>23704</v>
      </c>
      <c r="B988" t="s">
        <v>41</v>
      </c>
      <c r="C988" t="s">
        <v>40</v>
      </c>
      <c r="D988" s="7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42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41</v>
      </c>
      <c r="C989" t="s">
        <v>39</v>
      </c>
      <c r="D989" s="7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42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38</v>
      </c>
      <c r="C990" t="s">
        <v>40</v>
      </c>
      <c r="D990" s="7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42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38</v>
      </c>
      <c r="C991" t="s">
        <v>40</v>
      </c>
      <c r="D991" s="7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42</v>
      </c>
      <c r="K991" t="s">
        <v>35</v>
      </c>
      <c r="L991">
        <v>42</v>
      </c>
      <c r="M991" t="str">
        <f t="shared" si="15"/>
        <v>Middle aged</v>
      </c>
      <c r="N991" t="s">
        <v>20</v>
      </c>
    </row>
    <row r="992" spans="1:14">
      <c r="A992">
        <v>14332</v>
      </c>
      <c r="B992" t="s">
        <v>41</v>
      </c>
      <c r="C992" t="s">
        <v>39</v>
      </c>
      <c r="D992" s="7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41</v>
      </c>
      <c r="C993" t="s">
        <v>39</v>
      </c>
      <c r="D993" s="7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aged</v>
      </c>
      <c r="N993" t="s">
        <v>17</v>
      </c>
    </row>
    <row r="994" spans="1:14">
      <c r="A994">
        <v>22864</v>
      </c>
      <c r="B994" t="s">
        <v>38</v>
      </c>
      <c r="C994" t="s">
        <v>40</v>
      </c>
      <c r="D994" s="7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aged</v>
      </c>
      <c r="N994" t="s">
        <v>17</v>
      </c>
    </row>
    <row r="995" spans="1:14">
      <c r="A995">
        <v>11292</v>
      </c>
      <c r="B995" t="s">
        <v>41</v>
      </c>
      <c r="C995" t="s">
        <v>40</v>
      </c>
      <c r="D995" s="7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aged</v>
      </c>
      <c r="N995" t="s">
        <v>17</v>
      </c>
    </row>
    <row r="996" spans="1:14">
      <c r="A996">
        <v>13466</v>
      </c>
      <c r="B996" t="s">
        <v>38</v>
      </c>
      <c r="C996" t="s">
        <v>40</v>
      </c>
      <c r="D996" s="7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aged</v>
      </c>
      <c r="N996" t="s">
        <v>20</v>
      </c>
    </row>
    <row r="997" spans="1:14">
      <c r="A997">
        <v>23731</v>
      </c>
      <c r="B997" t="s">
        <v>38</v>
      </c>
      <c r="C997" t="s">
        <v>40</v>
      </c>
      <c r="D997" s="7">
        <v>60000</v>
      </c>
      <c r="E997" s="8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aged</v>
      </c>
      <c r="N997" t="s">
        <v>17</v>
      </c>
    </row>
    <row r="998" spans="1:14">
      <c r="A998">
        <v>28672</v>
      </c>
      <c r="B998" t="s">
        <v>41</v>
      </c>
      <c r="C998" t="s">
        <v>40</v>
      </c>
      <c r="D998" s="7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aged</v>
      </c>
      <c r="N998" t="s">
        <v>17</v>
      </c>
    </row>
    <row r="999" spans="1:14">
      <c r="A999">
        <v>11809</v>
      </c>
      <c r="B999" t="s">
        <v>38</v>
      </c>
      <c r="C999" t="s">
        <v>40</v>
      </c>
      <c r="D999" s="7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aged</v>
      </c>
      <c r="N999" t="s">
        <v>17</v>
      </c>
    </row>
    <row r="1000" spans="1:14">
      <c r="A1000">
        <v>19664</v>
      </c>
      <c r="B1000" t="s">
        <v>41</v>
      </c>
      <c r="C1000" t="s">
        <v>40</v>
      </c>
      <c r="D1000" s="7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aged</v>
      </c>
      <c r="N1000" t="s">
        <v>20</v>
      </c>
    </row>
    <row r="1001" spans="1:14">
      <c r="A1001">
        <v>12121</v>
      </c>
      <c r="B1001" t="s">
        <v>41</v>
      </c>
      <c r="C1001" t="s">
        <v>40</v>
      </c>
      <c r="D1001" s="7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42</v>
      </c>
      <c r="K1001" t="s">
        <v>35</v>
      </c>
      <c r="L1001">
        <v>53</v>
      </c>
      <c r="M1001" t="str">
        <f t="shared" si="15"/>
        <v>Middle aged</v>
      </c>
      <c r="N1001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2"/>
  <sheetViews>
    <sheetView topLeftCell="A72" workbookViewId="0">
      <selection activeCell="G17" sqref="G17"/>
    </sheetView>
  </sheetViews>
  <sheetFormatPr defaultColWidth="8.72727272727273" defaultRowHeight="14.5" outlineLevelCol="3"/>
  <cols>
    <col min="1" max="1" width="23.5454545454545"/>
    <col min="2" max="3" width="16.6363636363636"/>
    <col min="4" max="4" width="11.5454545454545"/>
  </cols>
  <sheetData>
    <row r="3" spans="1:2">
      <c r="A3" t="s">
        <v>43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44</v>
      </c>
    </row>
    <row r="5" spans="1:4">
      <c r="A5" t="s">
        <v>39</v>
      </c>
      <c r="B5" s="6"/>
      <c r="C5" s="6">
        <v>120000</v>
      </c>
      <c r="D5" s="6">
        <v>120000</v>
      </c>
    </row>
    <row r="6" spans="1:4">
      <c r="A6" t="s">
        <v>40</v>
      </c>
      <c r="B6" s="6">
        <v>15000</v>
      </c>
      <c r="C6" s="6">
        <v>30000</v>
      </c>
      <c r="D6" s="6">
        <v>22500</v>
      </c>
    </row>
    <row r="7" spans="1:4">
      <c r="A7" t="s">
        <v>44</v>
      </c>
      <c r="B7" s="6">
        <v>15000</v>
      </c>
      <c r="C7" s="6">
        <v>60000</v>
      </c>
      <c r="D7" s="6">
        <v>42000</v>
      </c>
    </row>
    <row r="33" spans="1:2">
      <c r="A33" t="s">
        <v>45</v>
      </c>
      <c r="B33" t="s">
        <v>12</v>
      </c>
    </row>
    <row r="34" spans="1:4">
      <c r="A34" t="s">
        <v>9</v>
      </c>
      <c r="B34" t="s">
        <v>20</v>
      </c>
      <c r="C34" t="s">
        <v>17</v>
      </c>
      <c r="D34" t="s">
        <v>44</v>
      </c>
    </row>
    <row r="35" spans="1:4">
      <c r="A35" t="s">
        <v>26</v>
      </c>
      <c r="B35">
        <v>2</v>
      </c>
      <c r="C35">
        <v>2</v>
      </c>
      <c r="D35">
        <v>4</v>
      </c>
    </row>
    <row r="36" spans="1:4">
      <c r="A36" t="s">
        <v>42</v>
      </c>
      <c r="B36"/>
      <c r="C36">
        <v>1</v>
      </c>
      <c r="D36">
        <v>1</v>
      </c>
    </row>
    <row r="37" spans="1:4">
      <c r="A37" t="s">
        <v>44</v>
      </c>
      <c r="B37">
        <v>2</v>
      </c>
      <c r="C37">
        <v>3</v>
      </c>
      <c r="D37">
        <v>5</v>
      </c>
    </row>
    <row r="68" spans="1:2">
      <c r="A68" t="s">
        <v>45</v>
      </c>
      <c r="B68" t="s">
        <v>12</v>
      </c>
    </row>
    <row r="69" spans="1:4">
      <c r="A69" t="s">
        <v>37</v>
      </c>
      <c r="B69" t="s">
        <v>20</v>
      </c>
      <c r="C69" t="s">
        <v>17</v>
      </c>
      <c r="D69" t="s">
        <v>44</v>
      </c>
    </row>
    <row r="70" spans="1:4">
      <c r="A70" t="s">
        <v>46</v>
      </c>
      <c r="B70"/>
      <c r="C70">
        <v>2</v>
      </c>
      <c r="D70">
        <v>2</v>
      </c>
    </row>
    <row r="71" spans="1:4">
      <c r="A71" t="s">
        <v>47</v>
      </c>
      <c r="B71">
        <v>2</v>
      </c>
      <c r="C71">
        <v>1</v>
      </c>
      <c r="D71">
        <v>3</v>
      </c>
    </row>
    <row r="72" spans="1:4">
      <c r="A72" t="s">
        <v>44</v>
      </c>
      <c r="B72">
        <v>2</v>
      </c>
      <c r="C72">
        <v>3</v>
      </c>
      <c r="D72">
        <v>5</v>
      </c>
    </row>
  </sheetData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tabSelected="1" zoomScale="75" zoomScaleNormal="75" topLeftCell="A2" workbookViewId="0">
      <selection activeCell="T28" sqref="T28"/>
    </sheetView>
  </sheetViews>
  <sheetFormatPr defaultColWidth="8.72727272727273" defaultRowHeight="14.5" outlineLevelRow="3"/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3"/>
    </row>
    <row r="2" ht="36" spans="1:11">
      <c r="A2" s="1"/>
      <c r="B2" s="1"/>
      <c r="C2" s="2" t="s">
        <v>48</v>
      </c>
      <c r="D2" s="1"/>
      <c r="E2" s="1"/>
      <c r="F2" s="1"/>
      <c r="G2" s="1"/>
      <c r="H2" s="1"/>
      <c r="I2" s="1"/>
      <c r="J2" s="1"/>
      <c r="K2" s="3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3"/>
    </row>
    <row r="4" ht="36" spans="1:11">
      <c r="A4" s="3"/>
      <c r="B4" s="3"/>
      <c r="C4" s="4"/>
      <c r="D4" s="5"/>
      <c r="E4" s="5"/>
      <c r="F4" s="5"/>
      <c r="G4" s="5"/>
      <c r="H4" s="5"/>
      <c r="I4" s="3"/>
      <c r="J4" s="3"/>
      <c r="K4" s="3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Gift Nmesoma</cp:lastModifiedBy>
  <dcterms:created xsi:type="dcterms:W3CDTF">2022-03-18T02:50:00Z</dcterms:created>
  <dcterms:modified xsi:type="dcterms:W3CDTF">2025-12-12T20:45:44Z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3EB165E3F60F47929D7C8D8263A95BE7_12</vt:lpwstr>
  </property>
  <property fmtid="{D5CDD505-2E9C-101B-9397-08002B2CF9AE}" pid="3" name="KSOProductBuildVer">
    <vt:lpwstr>2057-12.2.0.23158</vt:lpwstr>
  </property>
</Properties>
</file>